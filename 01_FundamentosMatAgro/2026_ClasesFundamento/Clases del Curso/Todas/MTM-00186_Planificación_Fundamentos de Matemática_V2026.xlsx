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M:\2026_Programas\"/>
    </mc:Choice>
  </mc:AlternateContent>
  <xr:revisionPtr revIDLastSave="0" documentId="13_ncr:1_{D93C0858-203D-4095-A72D-C3138DE53173}" xr6:coauthVersionLast="47" xr6:coauthVersionMax="47" xr10:uidLastSave="{00000000-0000-0000-0000-000000000000}"/>
  <bookViews>
    <workbookView xWindow="-120" yWindow="-120" windowWidth="20730" windowHeight="11160" activeTab="1" xr2:uid="{D2C5DD77-2C84-4B0F-BA0F-D54AA51E3CD1}"/>
  </bookViews>
  <sheets>
    <sheet name="Antecedentes Asignatura" sheetId="1" r:id="rId1"/>
    <sheet name="Planificación por unidades " sheetId="6" r:id="rId2"/>
    <sheet name="Hoja2" sheetId="2" state="hidden" r:id="rId3"/>
  </sheets>
  <definedNames>
    <definedName name="_xlnm._FilterDatabase" localSheetId="1" hidden="1">'Planificación por unidades '!$B$1:$P$18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3" i="1" l="1"/>
  <c r="O35" i="6"/>
  <c r="F35" i="6" l="1"/>
  <c r="I35" i="6"/>
  <c r="N3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tc={2B470AB9-E341-4BC8-928C-A217D788FDA8}</author>
    <author>tc={5495DBB2-5D2F-4F06-BC46-2A4686350D59}</author>
    <author>tc={4B7F7172-DB5D-496F-9B51-7C5585CEF950}</author>
    <author>tc={2D0607CA-9F40-4CB2-B727-B34FF7F805A6}</author>
    <author>tc={4409FBBC-4C32-4F3E-B1B3-E4A949B2D2AF}</author>
    <author>tc={723810D9-4610-478A-9932-08F3C0A69DED}</author>
    <author>tc={9B3BA2F3-1618-47E9-9D70-5D8BF973A409}</author>
  </authors>
  <commentList>
    <comment ref="D2" authorId="0" shapeId="0" xr:uid="{2B470AB9-E341-4BC8-928C-A217D788FD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Desagregar los contenidos del programa por temas de ser necesario.</t>
      </text>
    </comment>
    <comment ref="E2" authorId="1" shapeId="0" xr:uid="{5495DBB2-5D2F-4F06-BC46-2A4686350D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Experiencia de aprendizaje puede contener varias actividades. Además, una experiencia puede desarrollarse en más de 1 semana.</t>
      </text>
    </comment>
    <comment ref="K2" authorId="2" shapeId="0" xr:uid="{4B7F7172-DB5D-496F-9B51-7C5585CEF9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DIAGNÓSTICA: Evidencia las características de entrada de los(as) estudiantes tanto en conocimientos previos como en prerrequisitos. Permite obtener información valiosa para contextualizar la Planificación Didáctica, posibilitando su adecuación conforme a sus resultados.
FORMATIVA: Permite valorar el proceso de aproximación a los aprendizajes para conocer y estimar el trabajo de los(as) estudiantes y el grado en que se van logrando los aprendizajes previstos. Además, facilita la detección de dificultades, bloqueos y sus posibles causas, permitiendo la retroalimentación. La evaluación del proceso se desarrolla durante las acciones de enseñanza y de aprendizaje con la finalidad de modificar y perfeccionar el proceso de enseñanza-aprendizaje diseñado.
SUMATIVA: Es aquella que tiene lugar al culminar un proceso de enseñanza - aprendizaje de una parte o la totalidad de una asignatura. Su principal propósito es el de determinar el grado de dominio logrado por el estudiante en relación con un resultado de aprendizaje o logro general de aprendizaje, permitiendo establecer un balance del aprendizaje que el(a) estudiante ha logrado. 
*para mayor información se recomienda consultar el Modelo de Formación UST.</t>
      </text>
    </comment>
    <comment ref="L2" authorId="3" shapeId="0" xr:uid="{2D0607CA-9F40-4CB2-B727-B34FF7F805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Medio a través del cuál se evaluará al estudiantado.</t>
      </text>
    </comment>
    <comment ref="P2" authorId="4" shapeId="0" xr:uid="{4409FBBC-4C32-4F3E-B1B3-E4A949B2D2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Colocar las actividades que realiza el/la estudiante de manera autónoma de preparación y/o tarea, estudio etc.</t>
      </text>
    </comment>
    <comment ref="F3" authorId="5" shapeId="0" xr:uid="{723810D9-4610-478A-9932-08F3C0A69DE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Colocar las Horas lectivas </t>
      </text>
    </comment>
    <comment ref="O35" authorId="6" shapeId="0" xr:uid="{9B3BA2F3-1618-47E9-9D70-5D8BF973A40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sumatoria total debe coincidir de manera exacta con el total de hora TPR para la asignatura </t>
      </text>
    </comment>
  </commentList>
</comments>
</file>

<file path=xl/sharedStrings.xml><?xml version="1.0" encoding="utf-8"?>
<sst xmlns="http://schemas.openxmlformats.org/spreadsheetml/2006/main" count="239" uniqueCount="180">
  <si>
    <t>PLANIFICACIÓN DIDÁCTICA</t>
  </si>
  <si>
    <t xml:space="preserve">I. Antecedentes de la Asignatura </t>
  </si>
  <si>
    <t>Escuela/Unidad</t>
  </si>
  <si>
    <t xml:space="preserve">Programa </t>
  </si>
  <si>
    <t>Nombre de la asignatura</t>
  </si>
  <si>
    <t>Regimen/
Modalidad</t>
  </si>
  <si>
    <t>Diurno/
Presencial</t>
  </si>
  <si>
    <t>Plan</t>
  </si>
  <si>
    <t>Código</t>
  </si>
  <si>
    <t>Versión Año</t>
  </si>
  <si>
    <t>Distribución de Horas</t>
  </si>
  <si>
    <t>Créditos Académicos</t>
  </si>
  <si>
    <t>Horas Cronológicas</t>
  </si>
  <si>
    <t>Horas lectivas pedagógicas</t>
  </si>
  <si>
    <t>Horas Totales Pedagógicas</t>
  </si>
  <si>
    <t>Horas
Totales</t>
  </si>
  <si>
    <t>TPE</t>
  </si>
  <si>
    <t>Hrs. 
Lectivas</t>
  </si>
  <si>
    <t>Cátedra</t>
  </si>
  <si>
    <t>Laboratorio
/Taller</t>
  </si>
  <si>
    <t>Terreno</t>
  </si>
  <si>
    <t>Ayudantía</t>
  </si>
  <si>
    <t>Carácter</t>
  </si>
  <si>
    <t>Pre-Requisitos</t>
  </si>
  <si>
    <t>Obligatoria</t>
  </si>
  <si>
    <t xml:space="preserve">II. Contribución al Perfil de Egreso </t>
  </si>
  <si>
    <t>Competencia(s) Específicas y Genéricas a las cuales tributa la asignatura</t>
  </si>
  <si>
    <t>III. Unidades de Aprendizaje</t>
  </si>
  <si>
    <t xml:space="preserve">N° Unidad </t>
  </si>
  <si>
    <t>Resultados de Aprendizaje</t>
  </si>
  <si>
    <t xml:space="preserve">Nombre de la unidad </t>
  </si>
  <si>
    <t>Horas pedagógicas</t>
  </si>
  <si>
    <t>TOTAL</t>
  </si>
  <si>
    <t xml:space="preserve">PLANIFICACIÓN DIDÁCTICA </t>
  </si>
  <si>
    <t xml:space="preserve">Unidad o módulo </t>
  </si>
  <si>
    <t>Resultados de aprendizaje</t>
  </si>
  <si>
    <t>Semana</t>
  </si>
  <si>
    <t>Contenidos</t>
  </si>
  <si>
    <t>Experiencia de Aprendizaje</t>
  </si>
  <si>
    <t>Distribución de horas</t>
  </si>
  <si>
    <t>Recursos de Aprendizaje</t>
  </si>
  <si>
    <t>Tipo de Evaluación</t>
  </si>
  <si>
    <t>Procedimiento de evaluación</t>
  </si>
  <si>
    <t>Instrumento de evaluación</t>
  </si>
  <si>
    <t>% de evaluación</t>
  </si>
  <si>
    <t>Hrs. TPE</t>
  </si>
  <si>
    <t>Actividades TPE</t>
  </si>
  <si>
    <t>Diagnóstica</t>
  </si>
  <si>
    <t>Formativa</t>
  </si>
  <si>
    <t>Sumativa</t>
  </si>
  <si>
    <t>Total Horas Lectivas Programadas</t>
  </si>
  <si>
    <t>Total Horas Cronológicas TPE</t>
  </si>
  <si>
    <t>Producto</t>
  </si>
  <si>
    <t xml:space="preserve">Aprendizaje Basado en Problemas </t>
  </si>
  <si>
    <t xml:space="preserve">TIC </t>
  </si>
  <si>
    <t>Teams</t>
  </si>
  <si>
    <t>Foro</t>
  </si>
  <si>
    <t>Presentación</t>
  </si>
  <si>
    <t xml:space="preserve">Evaluación Diagnóstica </t>
  </si>
  <si>
    <t>Desempeño</t>
  </si>
  <si>
    <t xml:space="preserve">Aprendizaje Basado en Caso </t>
  </si>
  <si>
    <t>Material Descargable</t>
  </si>
  <si>
    <t>Otro</t>
  </si>
  <si>
    <t>Recurso interactivo (H5P)</t>
  </si>
  <si>
    <t>Simulación</t>
  </si>
  <si>
    <t xml:space="preserve">Evaluación Formativa </t>
  </si>
  <si>
    <t>Software de Simulación</t>
  </si>
  <si>
    <t>Conocimiento</t>
  </si>
  <si>
    <t xml:space="preserve">Aprendizaje Basado en Proyecto </t>
  </si>
  <si>
    <t>Audiovisuales</t>
  </si>
  <si>
    <t>Wiki</t>
  </si>
  <si>
    <t>Recursos multimediales</t>
  </si>
  <si>
    <t xml:space="preserve">Evaluación Sumativa </t>
  </si>
  <si>
    <t>otro</t>
  </si>
  <si>
    <t xml:space="preserve">Aprendizaje basado en juegos </t>
  </si>
  <si>
    <t>Chat</t>
  </si>
  <si>
    <t>No aplica</t>
  </si>
  <si>
    <t xml:space="preserve">Aprendizaje basado en simulación con softwares </t>
  </si>
  <si>
    <t xml:space="preserve">Otros </t>
  </si>
  <si>
    <t>Cuestionario</t>
  </si>
  <si>
    <t xml:space="preserve">Aprendizaje basado en simulación (con role playing, personas, etc.…) </t>
  </si>
  <si>
    <t>Lección</t>
  </si>
  <si>
    <t xml:space="preserve">Resolución de problemas ricos en contexto con aprendizaje colaborativo </t>
  </si>
  <si>
    <t>Discusión Socializada</t>
  </si>
  <si>
    <t>Agronomía</t>
  </si>
  <si>
    <t>Facultad de Ciencias. Departamento de Ciencias Básicas.</t>
  </si>
  <si>
    <t>Fundamentos de Matemática Básica</t>
  </si>
  <si>
    <t>Ingreso</t>
  </si>
  <si>
    <t>Desarrollar juicios rigurosos, examinando la calidad y fiabilidad de la información utilizada, e identificando posibles suposiciones, sesgos y limitaciones para posteriormente tomar decisiones informadas.</t>
  </si>
  <si>
    <t>Diseñar y gestionar sistemas agropecuarios para optimizar la productividad, mediante la aplicación de las ciencias agrarias, considerando el cuidado del medio ambiente, el bienestar de las personas y de los animales, con pertinencia territorial.</t>
  </si>
  <si>
    <t>Aplicar procedimientos básicos de cálculo aritmético y álgebra, tales como operaciones en distintos sistemas numéricos, potencia, notación científica, multiplicación de polinomios, y operatoria de fracciones algebraicas, para la resolución de problemas matemáticos contextualizados a las ciencias agrícolas, evidenciando capacidad de análisis y síntesis en la toma de decisiones.</t>
  </si>
  <si>
    <t>Aplicar conceptos de ecuaciones de primer grado, sistemas de ecuaciones, razones, proporciones y porcentajes, para la resolución de problemas matemáticos contextualizados a las ciencias agrícolas, evidenciando capacidad de análisis y síntesis en la toma de decisiones.</t>
  </si>
  <si>
    <t>Aplicar conceptos geométricos básicos, tales como puntos, líneas, ángulos, polígonos, figuras tridimensionales, y sus propiedades y características específicas, para resolver problemas geométricos asociados a las ciencias agrícolas, evidenciando capacidad de análisis y síntesis en la toma de decisiones.</t>
  </si>
  <si>
    <t>OPERACIONES ALGEBRAICAS EN LOS REALES</t>
  </si>
  <si>
    <t>ECUACIONES DE PRIMER GRADO Y SISTEMAS DE ECUACIONES</t>
  </si>
  <si>
    <t>GEOMETRÍA BÁSICA</t>
  </si>
  <si>
    <t>Contenidos Unidad II</t>
  </si>
  <si>
    <t>% correspondiente a la evaluación que reemplaza
(Ev 1, 2 o 3)</t>
  </si>
  <si>
    <t>N°8</t>
  </si>
  <si>
    <t>MTM-00186</t>
  </si>
  <si>
    <t>Total % Evaluación</t>
  </si>
  <si>
    <r>
      <t xml:space="preserve">Los/las estudiantes:
- Conocen al cuerpo académico a cargo de la asignatura, el programa de asignatura, y sus resultados de aprendizaje.
- Se informan sobre la Ley 21.369 y el respeto de las personas en todo tipo de actividades.
- Se familiarizan con la metodología de trabajo del curso, que continúa con la aplicada en el Taller de Ciencias (IVU), con énfasis en el desarrollo de competencias asociadas a la autonomía y autoaprendizaje, como antesala al mundo laboral.
- Se promueve la cultura de la evaluación formativa y permanente, con autoevaluación, coevaluación y evaluación docente-estudiante (heteroevaluación).
- Se proponen estrategias para aprovechar los recursos disponibles de la asignatura.
- Conocen detalle de las evaluaciones formativas y sumativas de la asignatura, con énfasis en el seguimiento y evaluación del progreso en el aprendizaje del/la estudiante.
</t>
    </r>
    <r>
      <rPr>
        <b/>
        <sz val="12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 xml:space="preserve">El/la estudiante:
- De manera grupal y mediante la exploración de situaciones contextualizadas, aplica las propiedades básicas de operatoria en los distintos conjuntos numéricos (cardinales, naturales, enteros, racionales y reales), en reflexión guiada por el/la docente.
- A través de problemas contextualizados, resuelve operaciones básicas de adición, sustracción, multiplicación y división con números reales.
</t>
    </r>
    <r>
      <rPr>
        <b/>
        <sz val="12"/>
        <rFont val="Calibri"/>
        <family val="2"/>
        <scheme val="minor"/>
      </rPr>
      <t>En ayudantía, los/as estudiantes:</t>
    </r>
    <r>
      <rPr>
        <sz val="12"/>
        <rFont val="Calibri"/>
        <family val="2"/>
        <scheme val="minor"/>
      </rPr>
      <t xml:space="preserve">
- Refuerzan los contenidos vistos en cátedra mediante el desarrollo de actividades participativas y aprendizaje basado en equipos con resolución de problemas/situaciones contextualizadas en el área profesional.
- En reflexión guiada por el/la ayudante, detectan patrones, relaciones e inconsistencias en las actividades realizadas.</t>
    </r>
  </si>
  <si>
    <r>
      <t xml:space="preserve">El/la estudiante:
- Realiza operatoria con conversión de magnitudes básicas de medida  (masa, longitud, tiempo, área y volumen) mediante la resolución de problemas contextualizados al área agrícola.
- De forma grupal, a través de ejemplos del ámbito cotidiano y profesional, reconoce los elementos básicos del álgebra en los reales: término y expresión algebraica, término semejante.
</t>
    </r>
    <r>
      <rPr>
        <b/>
        <sz val="12"/>
        <color theme="1"/>
        <rFont val="Calibri"/>
        <family val="2"/>
        <scheme val="minor"/>
      </rPr>
      <t xml:space="preserve">En ayudantía, </t>
    </r>
    <r>
      <rPr>
        <sz val="12"/>
        <color theme="1"/>
        <rFont val="Calibri"/>
        <family val="2"/>
        <scheme val="minor"/>
      </rPr>
      <t>los/as estudiantes:
- Refuerzan los contenidos vistos en cátedra mediante el desarrollo de actividades participativas y aprendizaje basado en equipos con resolución de problemas contextualizados en el área profesional.
- En reflexión guiada por el/la ayudante, detectan patrones, relaciones e inconsistencias en las actividades realizadas.</t>
    </r>
  </si>
  <si>
    <r>
      <t>El/la estudiante:
- Resuelve desafíos de forma grupal con casos proporcionados por el/la docente, aplicando las propiedades de potencias en problemas contextualizados en el área agrícola. 
- En forma grupal, a través de ejemplos del ámbito cotidiano y profesional proporcionados por el/la docente transforma números en notación científica.
- A través de problemas contextualizados al área agrícola, utiliza la notación científica en operaciones de multiplicación y división.
- En forma grupal integra patrones y relaciones en aplicaciones de potencia y notación científica.</t>
    </r>
    <r>
      <rPr>
        <b/>
        <sz val="12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 xml:space="preserve">En ayudantía, </t>
    </r>
    <r>
      <rPr>
        <sz val="12"/>
        <color theme="1"/>
        <rFont val="Calibri"/>
        <family val="2"/>
        <scheme val="minor"/>
      </rPr>
      <t>los/as estudiantes:
- Refuerzan los contenidos vistos en cátedra mediante el desarrollo de actividades participativas y aprendizaje basado en equipos con resolución de problemas y/o situaciones contextualizadas en el área profesional.
- En reflexión guiada por el/la ayudante, detectan patrones, relaciones e inconsistencias en las actividades realizadas.</t>
    </r>
  </si>
  <si>
    <r>
      <rPr>
        <sz val="12"/>
        <color theme="1"/>
        <rFont val="Calibri"/>
        <family val="2"/>
        <scheme val="minor"/>
      </rPr>
      <t xml:space="preserve">El/la estudiante:
- Resuelve desafíos de forma grupal con casos proporcionados por el/la docente, aplicando operaciones de adición, sustracción y multiplicación de expresiones con los elementos básicos del álgebra en los reales.	
- Utiliza productos notables mediante la resolución de problemas prácticos proporcionados por el/la docente, contextualizados a las ciencias agrícolas 
</t>
    </r>
    <r>
      <rPr>
        <b/>
        <sz val="12"/>
        <color theme="1"/>
        <rFont val="Calibri"/>
        <family val="2"/>
        <scheme val="minor"/>
      </rPr>
      <t xml:space="preserve">En ayudantía, </t>
    </r>
    <r>
      <rPr>
        <sz val="12"/>
        <color theme="1"/>
        <rFont val="Calibri"/>
        <family val="2"/>
        <scheme val="minor"/>
      </rPr>
      <t>los/as estudiantes:
- Refuerzan los contenidos vistos en cátedra mediante el desarrollo de actividades participativas y aprendizaje basado en equipos con resolución de problemas contextualizados en el área profesional.
- En reflexión guiada por el/la ayudante, detectan patrones, relaciones e inconsistencias en las actividades realizadas.</t>
    </r>
  </si>
  <si>
    <t>- Aplica operaciones de adición, sustracción y multiplicación de expresiones con los elementos básicos del álgebra en los reales.
- Utiliza productos notables: cuadrado de binomio, producto de suma por su diferencia y multiplicación de binomios con un término común.
- Detecta patrones, relaciones e inconsistencias en las actividades realizadas.</t>
  </si>
  <si>
    <t>- Aplica las propiedades básicas de la adición, sustracción, multiplicación y división en la operatoria con los distintos conjuntos numéricos.
- Resuelve operaciones básicas de adición, sustracción, multiplicación y división con números reales.
- Detecta patrones, relaciones e inconsistencias en las actividades realizadas.</t>
  </si>
  <si>
    <t>- Realiza amplificación y simplificación de expresiones algebraicas.
- Realiza operatoria con fracciones algebraicas: adición, sustracción, multiplicación y división.
- Detecta patrones, relaciones e inconsistencias en las actividades realizadas.
- Integra patrones y relaciones matemáticas en las actividades realizadas.</t>
  </si>
  <si>
    <r>
      <t xml:space="preserve">El/la estudiante:
- Resuelve desafíos de forma grupal con casos proporcionados por el/la docente, realizando amplificación y simplificación de expresiones algebraicas.
- Realiza operatoria con fracciones algebraicas: adición, sustracción, multiplicación y división resolviendo casos del ámbito cotidiano y profesional, y de manera grupal.
- Integra patrones y relaciones matemáticas mediante el desarrollo de problemas contextualizados en el ámbito de las ciencias agrícolas.
</t>
    </r>
    <r>
      <rPr>
        <b/>
        <sz val="12"/>
        <color theme="1"/>
        <rFont val="Calibri"/>
        <family val="2"/>
        <scheme val="minor"/>
      </rPr>
      <t xml:space="preserve">En ayudantía, </t>
    </r>
    <r>
      <rPr>
        <sz val="12"/>
        <color theme="1"/>
        <rFont val="Calibri"/>
        <family val="2"/>
        <scheme val="minor"/>
      </rPr>
      <t>los/as estudiantes:</t>
    </r>
    <r>
      <rPr>
        <b/>
        <sz val="12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- Refuerzan los contenidos vistos en cátedra mediante el desarrollo de actividades participativas y aprendizaje basado en equipos con resolución de problemas contextualizados en el área profesional.
- En reflexión guiada por el/la ayudante, detectan estrategias, patrones, relaciones e inconsistencias en las actividades realizadas.</t>
    </r>
  </si>
  <si>
    <t xml:space="preserve">
- Reconoce las propiedades fundamentales de la igualdad.
- Identifica los elementos de una ecuación de primer grado (términos, coeficientes y constantes).
- Resuelve ecuaciones de primer grado con una incógnita.
- Aplica ecuaciones de primer grado para modelar y resolver situaciones en distintos contextos.
- Distingue tipos de ecuaciones de primer grado con una incógnita: enteras, fraccionarias y literales.
- Detecta patrones, relaciones e inconsistencias en las actividades realizadas.</t>
  </si>
  <si>
    <r>
      <t xml:space="preserve">El/la estudiante:
- De forma grupal, a través de ejemplos del ámbito cotidiano y profesional, reconoce las propiedades fundamentales de la igualdad.
- En forma grupal, a través de ejemplos del ámbito cotidiano y profesional proporcionados por el/la docente, identifica los elementos de una ecuación de primer grado (términos, coeficientes y constantes).
- Desarrolla desafíos de forma grupal con casos proporcionados por el/la docente, resolviendo ecuaciones de primer grado con una incógnita.
- Aplica ecuaciones de primer grado en el modelamiento mediante la resolución de problemas contextualizados en el área agrícola netregados por el/la docente.
- A través de la resolución de problemas contextualizados al área agrícola, distingue tipos de ecuaciones de primer grado con una incógnita (enteras, fraccionarias y literales).
</t>
    </r>
    <r>
      <rPr>
        <b/>
        <sz val="12"/>
        <color rgb="FF000000"/>
        <rFont val="Calibri"/>
        <family val="2"/>
        <scheme val="minor"/>
      </rPr>
      <t>En ayudantía,</t>
    </r>
    <r>
      <rPr>
        <sz val="12"/>
        <color rgb="FF000000"/>
        <rFont val="Calibri"/>
        <family val="2"/>
        <scheme val="minor"/>
      </rPr>
      <t xml:space="preserve"> los/as estudiantes:
- Refuerzan los contenidos vistos en cátedra mediante el desarrollo de actividades participativas y aprendizaje basado en equipos con resolución de problemas contextualizados en el área profesional.
- En reflexión guiada por el/la ayudante, detectan patrones, relaciones e inconsistencias en las actividades realizadas.</t>
    </r>
  </si>
  <si>
    <r>
      <rPr>
        <sz val="12"/>
        <color rgb="FF000000"/>
        <rFont val="Calibri"/>
        <family val="2"/>
        <scheme val="minor"/>
      </rPr>
      <t>El/la estudiante:
- Identifica los tipos de sistemas de ecuaciones lineales con dos incógnitas (independientes, dependientes e inconsistente</t>
    </r>
    <r>
      <rPr>
        <sz val="12"/>
        <rFont val="Calibri"/>
        <family val="2"/>
        <scheme val="minor"/>
      </rPr>
      <t>s) mediante</t>
    </r>
    <r>
      <rPr>
        <sz val="12"/>
        <color rgb="FF000000"/>
        <rFont val="Calibri"/>
        <family val="2"/>
        <scheme val="minor"/>
      </rPr>
      <t xml:space="preserve"> la resolución de problemas prácticos, contextualizados a las ciencias agrícolas seleccionados por el/la docente.
- Resuelve problemas prácticos y contextualizados a las ciencias agrícolas utilizando sistemas de ecuaciones lineales de primer grado con dos incógnitas </t>
    </r>
    <r>
      <rPr>
        <sz val="12"/>
        <rFont val="Calibri"/>
        <family val="2"/>
        <scheme val="minor"/>
      </rPr>
      <t xml:space="preserve">mediante métodos algebraicos de sustitución, igualación y/o reducción.
</t>
    </r>
    <r>
      <rPr>
        <b/>
        <sz val="12"/>
        <rFont val="Calibri"/>
        <family val="2"/>
        <scheme val="minor"/>
      </rPr>
      <t>En ayudantía,</t>
    </r>
    <r>
      <rPr>
        <sz val="12"/>
        <rFont val="Calibri"/>
        <family val="2"/>
        <scheme val="minor"/>
      </rPr>
      <t xml:space="preserve"> 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    </t>
    </r>
  </si>
  <si>
    <r>
      <rPr>
        <sz val="12"/>
        <color rgb="FF000000"/>
        <rFont val="Calibri"/>
        <family val="2"/>
        <scheme val="minor"/>
      </rPr>
      <t>- Identifica los tipos de sistemas de ecuaciones lineales con dos incógnitas: independientes, dependientes e inconsistentes.</t>
    </r>
    <r>
      <rPr>
        <b/>
        <sz val="12"/>
        <color rgb="FF000000"/>
        <rFont val="Calibri"/>
        <family val="2"/>
        <scheme val="minor"/>
      </rPr>
      <t xml:space="preserve">
</t>
    </r>
    <r>
      <rPr>
        <sz val="12"/>
        <color rgb="FF000000"/>
        <rFont val="Calibri"/>
        <family val="2"/>
        <scheme val="minor"/>
      </rPr>
      <t>- Resuelve sistemas de ecuaciones lineales utilizando métodos algebraicos (sustitución, igualación y reducción).</t>
    </r>
    <r>
      <rPr>
        <b/>
        <sz val="12"/>
        <color rgb="FF000000"/>
        <rFont val="Calibri"/>
        <family val="2"/>
        <scheme val="minor"/>
      </rPr>
      <t xml:space="preserve">
</t>
    </r>
    <r>
      <rPr>
        <sz val="12"/>
        <color rgb="FF000000"/>
        <rFont val="Calibri"/>
        <family val="2"/>
        <scheme val="minor"/>
      </rPr>
      <t>- Detecta patrones, relaciones e inconsistencias en las actividades realizadas.</t>
    </r>
  </si>
  <si>
    <r>
      <t xml:space="preserve">El/la estudiante:
- De manera grupal revisa casos del ámbito cotidiano y profesional, detectando patrones, relaciones e inconsistencias en la resolución de problemas prácticos contextualizados a las ciencias agrícolas.
- Integra patrones y relaciones matemáticas en las actividades realizadas mediante la resolución de problemas prácticos contextualizados a las ciencias agrícolas.
</t>
    </r>
    <r>
      <rPr>
        <b/>
        <sz val="12"/>
        <rFont val="Calibri"/>
        <family val="2"/>
        <scheme val="minor"/>
      </rPr>
      <t>En ayudantía,</t>
    </r>
    <r>
      <rPr>
        <sz val="12"/>
        <rFont val="Calibri"/>
        <family val="2"/>
        <scheme val="minor"/>
      </rPr>
      <t xml:space="preserve"> 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      </t>
    </r>
  </si>
  <si>
    <r>
      <t xml:space="preserve">El/la estudiante:
- En forma grupal, a través de ejemplos del ámbito cotidiano y profesional proporcionados por el/la docente, identifica los conceptos básicos de la geometría plana.
- Clasifica los diferentes tipos de triángulos según lados y ángulos mediante la resolución de problemas prácticos contextualizados a las ciencias agrícolas con reflexión guiada por el/la docente.
</t>
    </r>
    <r>
      <rPr>
        <b/>
        <sz val="12"/>
        <rFont val="Calibri"/>
        <family val="2"/>
        <scheme val="minor"/>
      </rPr>
      <t xml:space="preserve">En ayudantía, </t>
    </r>
    <r>
      <rPr>
        <sz val="12"/>
        <rFont val="Calibri"/>
        <family val="2"/>
        <scheme val="minor"/>
      </rPr>
      <t xml:space="preserve">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      </t>
    </r>
  </si>
  <si>
    <r>
      <t xml:space="preserve">El/la estudiante:
- Describe las propiedades fundamentales de los triángulos (suma de ángulos interiores y congruencia) mediante la resolución de problemas prácticos contextualizados a las ciencias agrícolas seleccionados por el/la docente.
- En forma grupal, a través de ejemplos del ámbito cotidiano y profesional proporcionados por el/la docente, identifica los elementos esenciales de los paralelógramos (vértices, lados, ángulos y diagonales)
- A través de material de apyo entregado por el/la docente, clasifica los paralelogramos según sus propiedades, en rombos, cuadrados y romboides, y lo aplica en problemas prácticos contextualizados a las ciencias agrícolas.
- En la resolución de desafíos de forma grupal, explica las propiedades y características de los diferentes tipos de paralelógramos, con enfoque en su simetría y relaciones angulares.
</t>
    </r>
    <r>
      <rPr>
        <b/>
        <sz val="12"/>
        <rFont val="Calibri"/>
        <family val="2"/>
        <scheme val="minor"/>
      </rPr>
      <t xml:space="preserve">En ayudantía, </t>
    </r>
    <r>
      <rPr>
        <sz val="12"/>
        <rFont val="Calibri"/>
        <family val="2"/>
        <scheme val="minor"/>
      </rPr>
      <t xml:space="preserve">los/as estudiantes: 
- Refuerzan los contenidos vistos en cátedra mediante el desarrollo de actividades participativas y aprendizaje basado en equipos con resolución de problemas y/o situaciones contextualizadas en el área profesional.
- En reflexión guiada por el/la ayudante detectan patrones, relaciones e inconsistencias en las actividades realizadas.      </t>
    </r>
  </si>
  <si>
    <t>- Detecta patrones, relaciones e inconsistencias en las actividades realizadas.
- Integra patrones y relaciones matemáticas en las actividades realizadas.</t>
  </si>
  <si>
    <r>
      <t xml:space="preserve">El/la estudiante:
- De forma grupal, a través de ejemplos del ámbito cotidiano y profesional, define las fórmulas para calcular el área y el perímetro de figuras geométricas planas (triángulos, paralelógramos, y círculos).
- Resuelve desafíos de forma grupal con casos proporcionados por el/la docente, calculando áreas y perímetros de figuras geométricas planas utilizando las fórmulas correspondientes.
- A través de problemas contextualizados seleccionado por el/la docente, diferencia entre figuras bidimensionales (2D) y tridimensionales (3D) en términos de sus características geométricas.
</t>
    </r>
    <r>
      <rPr>
        <b/>
        <sz val="12"/>
        <rFont val="Calibri"/>
        <family val="2"/>
        <scheme val="minor"/>
      </rPr>
      <t>En ayudantía,</t>
    </r>
    <r>
      <rPr>
        <sz val="12"/>
        <rFont val="Calibri"/>
        <family val="2"/>
        <scheme val="minor"/>
      </rPr>
      <t xml:space="preserve"> 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      </t>
    </r>
  </si>
  <si>
    <r>
      <t xml:space="preserve">
- </t>
    </r>
    <r>
      <rPr>
        <sz val="12"/>
        <rFont val="Calibri"/>
        <family val="2"/>
        <scheme val="minor"/>
      </rPr>
      <t>Define</t>
    </r>
    <r>
      <rPr>
        <sz val="12"/>
        <color theme="1"/>
        <rFont val="Calibri"/>
        <family val="2"/>
        <scheme val="minor"/>
      </rPr>
      <t xml:space="preserve"> las fórmulas para calcular el área y el perímetro de figuras geométricas planas, como triángulos, paralelógramos, y círculos.
- Calcula áreas y perímetros de figuras geométricas planas utilizando las fórmulas correspondientes.
- Diferencia entre figuras bidimensionales (2D) y tridimensionales (3D) en términos de sus características geométricas.
 - Detecta patrones, relaciones e inconsistencias en las actividades realizadas</t>
    </r>
  </si>
  <si>
    <t>- Calcular volúmenes de figuras geométricas tridimensionales básicas, como esferas, cubos, prismas y cilindros, utilizando fórmulas estándar.
- Detectar patrones, relaciones e inconsistencias en las actividades realizadas.
- Integrar patrones y relaciones matemáticas y geométricas en las actividades realizadas.</t>
  </si>
  <si>
    <t xml:space="preserve">- Examen y retroalimentación. </t>
  </si>
  <si>
    <t>- El/la estudiante rinde examen.                                                                                               
- El/la estudiante revisa su desempeño en el examen en instancia de retroalimentación.</t>
  </si>
  <si>
    <t>- Integración de contenidos de las Unidades I, II y III.</t>
  </si>
  <si>
    <t>- Describe las propiedades fundamentales de los triángulos, como la suma de ángulos interiores y la congruencia.
- Identifica los elementos esenciales de los paralelógramos, tales como vértices, lados, ángulos y diagonales.
- Clasifica los paralelogramos en rectángulos, rombos, cuadrados y romboides, según sus propiedades.
- Explica las propiedades y características de los diferentes tipos de paralelógramos, enfocándose en su simetría y relaciones angulares.
- Detecta patrones, relaciones e inconsistencias en las actividades realizadas.</t>
  </si>
  <si>
    <t xml:space="preserve">
- Aplica el concepto de potencia y sus propiedades.
- Transforma números en notación científica.
- Utiliza números en notación científica en operaciones de multiplicación y división.
- Integra patrones y relaciones matemáticas en las actividades realizadas.
- Detecta patrones, relaciones e inconsistencias en las actividades realizadas.</t>
  </si>
  <si>
    <r>
      <t xml:space="preserve">- Distingue los tipos de factorización: factor común, suma por su diferencia, trinomio cuadrado perfecto y trinomio de la forma x² + bx + c , con a=1.
- Detecta patrones, relaciones e inconsistencias en las actividades realizadas.
</t>
    </r>
    <r>
      <rPr>
        <b/>
        <sz val="12"/>
        <color theme="1"/>
        <rFont val="Calibri"/>
        <family val="2"/>
        <scheme val="minor"/>
      </rPr>
      <t>- Evaluación primera parte Unidad I</t>
    </r>
  </si>
  <si>
    <t>Evaluación de aplicación de contenidos conceptuales y procedimentales, de forma individual o grupal de situaciones contextualizadas al área profesional. Retroalimentación oportuna.</t>
  </si>
  <si>
    <t>Preguntas de aplicación en situaciones contextualizadas y Pauta de corrección</t>
  </si>
  <si>
    <t>- Evaluación segunda parte Unidad I</t>
  </si>
  <si>
    <r>
      <t xml:space="preserve">El/la estudiante:
- Interpreta los resultados de sistemas de ecuaciones lineales con dos incógnitas mediante la resolución de problemas prácticos contextualizados a las ciencias agrícolas seleccionados por el/la docente, de manera grupal.
- Madiante aprendizaje basado en equipos, aplica razón, proporción directa, proporción inversa y porcentaje para la resolución de desafíos con problemas prácticos contextualizados a las ciencias agrícolas.
</t>
    </r>
    <r>
      <rPr>
        <b/>
        <sz val="12"/>
        <rFont val="Calibri"/>
        <family val="2"/>
        <scheme val="minor"/>
      </rPr>
      <t xml:space="preserve">En ayudantía, </t>
    </r>
    <r>
      <rPr>
        <sz val="12"/>
        <rFont val="Calibri"/>
        <family val="2"/>
        <scheme val="minor"/>
      </rPr>
      <t>los/as estudiantes: 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</t>
    </r>
  </si>
  <si>
    <t>- Interpreta los resultados de sistemas de ecuaciones en la resolución de situaciones contextualizadas.
- Aplica razón, proporción directa, proporción inversa y porcentaje en situaciones de distintos contextos.
- Detecta patrones, relaciones e inconsistencias en las actividades realizadas.</t>
  </si>
  <si>
    <t xml:space="preserve">- Revisa material del Aula Virtual
- Resuelve ejercicios propuestos y comparte soluciones en aula virtual o clase según corresponda. </t>
  </si>
  <si>
    <t>Prueba de tipo conocimiento, individual, aplicada online o impresa en sala de clases, al inicio de la asignatura, que considera aprendizajes previos de operatoria matemática básica esperados.</t>
  </si>
  <si>
    <t>Prueba de alternativas o ejercicoos contextualizados, y pauta de corrección</t>
  </si>
  <si>
    <t>Ejercicios contextualizados, con pauta o rúbrica de corrección.</t>
  </si>
  <si>
    <r>
      <t xml:space="preserve">El/la estudiante:
- De forma grupal, a través de ejemplos del ámbito cotidiano y profesional, distingue los tipos de factorización: factor común, suma por su diferencia, trinomio cuadrado perfecto y trinomio de la forma x² + bx + c , con a=1.
</t>
    </r>
    <r>
      <rPr>
        <b/>
        <sz val="12"/>
        <color theme="1"/>
        <rFont val="Calibri"/>
        <family val="2"/>
        <scheme val="minor"/>
      </rPr>
      <t>- Rinde Evaluación Sumativa 1 (Parte 1)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(1 sesión).</t>
    </r>
    <r>
      <rPr>
        <sz val="12"/>
        <color theme="1"/>
        <rFont val="Calibri"/>
        <family val="2"/>
        <scheme val="minor"/>
      </rPr>
      <t xml:space="preserve">
- En sesión de </t>
    </r>
    <r>
      <rPr>
        <b/>
        <sz val="12"/>
        <color theme="1"/>
        <rFont val="Calibri"/>
        <family val="2"/>
        <scheme val="minor"/>
      </rPr>
      <t>Ayudantía</t>
    </r>
    <r>
      <rPr>
        <sz val="12"/>
        <color theme="1"/>
        <rFont val="Calibri"/>
        <family val="2"/>
        <scheme val="minor"/>
      </rPr>
      <t>, revisa su desempeño en la Evaluación (sesión de retroalimentación).</t>
    </r>
  </si>
  <si>
    <r>
      <t xml:space="preserve">El/la estudiante:
</t>
    </r>
    <r>
      <rPr>
        <b/>
        <sz val="12"/>
        <rFont val="Calibri"/>
        <family val="2"/>
        <scheme val="minor"/>
      </rPr>
      <t>- Rinde la Evaluación Sumativa 2 (1 sesión).</t>
    </r>
    <r>
      <rPr>
        <sz val="12"/>
        <rFont val="Calibri"/>
        <family val="2"/>
        <scheme val="minor"/>
      </rPr>
      <t xml:space="preserve">
- En sesión de </t>
    </r>
    <r>
      <rPr>
        <b/>
        <sz val="12"/>
        <rFont val="Calibri"/>
        <family val="2"/>
        <scheme val="minor"/>
      </rPr>
      <t>Ayudantía,</t>
    </r>
    <r>
      <rPr>
        <sz val="12"/>
        <rFont val="Calibri"/>
        <family val="2"/>
        <scheme val="minor"/>
      </rPr>
      <t xml:space="preserve"> revisa su desempeño en la evaluación (sesión de retroalimentación).</t>
    </r>
  </si>
  <si>
    <t>Evaluación de tipo producto, de aplicación de contenidos conceptuales y procedimentales, de forma individual o grupal, de situaciones contextualizadas al área profesional. Retroalimentación oportuna.</t>
  </si>
  <si>
    <t>- Identifica los conceptos básicos de la geometría plana, incluyendo puntos, líneas, planos y figuras geométricas.
- Clasifica los diferentes tipos de triángulos de acuerdo con sus lados y ángulos.
 - Detecta patrones, relaciones e inconsistencias en las actividades realizadas.</t>
  </si>
  <si>
    <t>- Identifica los elementos básicos de la circunferencia, como centro, radio, diámetro, arco y cuerda
- Describe las propiedades de la circunferencia, incluyendo el cálculo de la longitud y la relación entre sus elementos.
 - Detecta patrones, relaciones e inconsistencias en las actividades realizadas.</t>
  </si>
  <si>
    <t>Preguntas de aplicación en situaciones contextualizadas con evidencia como portafolio, exposición de video u otros formatos. Pauta o rúbrica de corrección.</t>
  </si>
  <si>
    <t>Evaluación de aplicación de contenidos conceptuales y procedimentales, de forma individual o grupal, de situaciones contextualizadas al área profesional. Retroalimentación oportuna.</t>
  </si>
  <si>
    <t>Resolución en duplas de ejercicios que cubren los contenidos de clases. Docente identifica debilidades, con retroalimentación inmediata.</t>
  </si>
  <si>
    <r>
      <t xml:space="preserve">El/la estudiante:
- Resuelve ordenada y metódicamente problemas contextualizados que involucran los conceptos de las unidades I, II y III.
</t>
    </r>
    <r>
      <rPr>
        <b/>
        <sz val="12"/>
        <color theme="1"/>
        <rFont val="Calibri"/>
        <family val="2"/>
        <scheme val="minor"/>
      </rPr>
      <t xml:space="preserve">- Rinde Evaluación Recuperativa en caso de requerirlo.     </t>
    </r>
    <r>
      <rPr>
        <sz val="12"/>
        <color theme="1"/>
        <rFont val="Calibri"/>
        <family val="2"/>
        <scheme val="minor"/>
      </rPr>
      <t xml:space="preserve"> </t>
    </r>
  </si>
  <si>
    <t xml:space="preserve">Conjuntos Numéricos: INGRESE AQUÍ </t>
  </si>
  <si>
    <t xml:space="preserve">Números racionales Parte I: INGRESE AQUÍ </t>
  </si>
  <si>
    <t xml:space="preserve">Números racionales Parte II: INGRESE AQUÍ </t>
  </si>
  <si>
    <t xml:space="preserve">Potencias: INGRESE AQUÍ </t>
  </si>
  <si>
    <t>- Realiza operatoria con conversión de magnitudes básicas de medida (masa, longitud, tiempo, área y volumen).
- Reconoce los elementos básicos del álgebra en los reales: término y expresión algebraica, término semejante.
- Detecta patrones, relaciones e inconsistencias en las actividades realizadas.</t>
  </si>
  <si>
    <t xml:space="preserve">Expresiones algebraica I: INGRESE AQUÍ </t>
  </si>
  <si>
    <t xml:space="preserve">Expresiones algebraica II: INGRESE AQUÍ </t>
  </si>
  <si>
    <t xml:space="preserve">Productos notables: INGRESE AQUÍ </t>
  </si>
  <si>
    <t xml:space="preserve">Factorización: INGRESE AQUÍ </t>
  </si>
  <si>
    <t xml:space="preserve">Ecuaciones de primer grado: INGRESE AQUÍ </t>
  </si>
  <si>
    <t xml:space="preserve">Razones, proporciones y porcentaje: INGRESE AQUÍ </t>
  </si>
  <si>
    <t>- Material audiovisual educativo Estudia Conmigo.
- Ejercicios contextualizados</t>
  </si>
  <si>
    <t>- Revisa material del Aula Virtual
- Resuelve ejercicios propuestos y comparte soluciones en aula virtual o clase según corresponda. 
- Revisa videos de apoyo Estudia Conmigo:</t>
  </si>
  <si>
    <t xml:space="preserve">- Revisa material del Aula Virtual
- Resuelve ejercicios propuestos y comparte soluciones en aula virtual o clase según corresponda. 
- Revisa videos de apoyo Estudia Conmigo:
</t>
  </si>
  <si>
    <t>- Ejercicios contextualizados</t>
  </si>
  <si>
    <r>
      <t>El/la estudiante:
-</t>
    </r>
    <r>
      <rPr>
        <b/>
        <sz val="12"/>
        <color theme="1"/>
        <rFont val="Calibri"/>
        <family val="2"/>
        <scheme val="minor"/>
      </rPr>
      <t xml:space="preserve"> Entrega producto asociado a Evaluación Sumativa 1 (Parte 2) </t>
    </r>
    <r>
      <rPr>
        <sz val="12"/>
        <color theme="1"/>
        <rFont val="Calibri"/>
        <family val="2"/>
        <scheme val="minor"/>
      </rPr>
      <t>de resolución de situaciones contextualizadas a las ciencias agrícolas. 
- En sesión de</t>
    </r>
    <r>
      <rPr>
        <b/>
        <sz val="12"/>
        <color theme="1"/>
        <rFont val="Calibri"/>
        <family val="2"/>
        <scheme val="minor"/>
      </rPr>
      <t xml:space="preserve"> Ayudantía,</t>
    </r>
    <r>
      <rPr>
        <sz val="12"/>
        <color theme="1"/>
        <rFont val="Calibri"/>
        <family val="2"/>
        <scheme val="minor"/>
      </rPr>
      <t xml:space="preserve"> revisa su desempeño en la Evaluación (sesión de retroalimentación).</t>
    </r>
  </si>
  <si>
    <t xml:space="preserve">- Revisa material del Aula Virtual
- Resuelve ejercicios propuestos y comparte soluciones en aula virtual o clase según corresponda.
- Refuerza los contenidos de la Unidad I. </t>
  </si>
  <si>
    <t xml:space="preserve">- Revisa material del Aula Virtual
- Resuelve ejercicios propuestos y comparte soluciones en aula virtual o clase según corresponda.
- Refuerza los aprendizajes que el/la estudiante identifique como disminuidos a partir de su desempeño en la Evaluación 1 y su retroalimentación. </t>
  </si>
  <si>
    <t>- Revisa material del Aula Virtual
- Resuelve ejercicios propuestos y comparte soluciones en aula virtual o clase según corresponda. 
- Refuerza los aprendizajes que el/la estudiante identifique como disminuidos a partir de su desempeño en la Evaluación 1 (Parte 1) y su retroalimentación.
- Revisa videos de apoyo Estudia Conmigo:</t>
  </si>
  <si>
    <t>- Ejercicios contextualizados.</t>
  </si>
  <si>
    <t>- Material audiovisual educativo Estudia Conmigo.
- Ejercicios contextualizados.</t>
  </si>
  <si>
    <t xml:space="preserve">- Revisa material del Aula Virtual
- Resuelve ejercicios propuestos y comparte soluciones en aula virtual o clase según corresponda. 
- Refuerza los aprendizajes que el/la estudiante identifique como disminuidos a partir de su desempeño en la Evaluación 2 y su retroalimentación. </t>
  </si>
  <si>
    <t xml:space="preserve">- Revisa material del Aula Virtual
- Resuelve ejercicios propuestos y comparte soluciones en aula virtual o clase según corresponda.
- Refuerza los contenidos de la Unidad II.
- Revisa videos de apoyo Estudia Conmigo:
</t>
  </si>
  <si>
    <t>- Revisa material del Aula Virtual
- Resuelve ejercicios propuestos y comparte soluciones en aula virtual o clase según corresponda. 
- Refuerza los contenidos de la Unidad II.</t>
  </si>
  <si>
    <t>- Revisa material del Aula Virtual
- Resuelve ejercicios propuestos y comparte soluciones en aula virtual o clase según corresponda. 
- Refuerza los contenidos de la Unidad III.</t>
  </si>
  <si>
    <t>- Revisa material del Aula Virtual
- Resuelve ejercicios propuestos y comparte soluciones en aula virtual o clase según corresponda.
- Refuerza los contenidos de la Unidad III.</t>
  </si>
  <si>
    <t>- Revisa material del Aula Virtual
- Resuelve ejercicios propuestos y comparte soluciones en aula virtual o clase según corresponda. 
- Refuerza los aprendizajes que el/la estudiante identifique como disminuidos a partir de su desempeño en las Evaluaciones 1, 2 y 3 y su retroalimentación.</t>
  </si>
  <si>
    <t>- Revisa material del Aula Virtual
- Resuelve ejercicios propuestos y comparte soluciones en aula virtual o clase según corresponda. 
- Refuerza los aprendizajes que el/la estudiante identifique como disminuidos a partir de su desempeño en la Evaluación 3 y su retroalimentación.</t>
  </si>
  <si>
    <t>EXAMEN FINAL ASIGNATURA</t>
  </si>
  <si>
    <t xml:space="preserve">I
OPERACIONES ALGEBRAICAS EN LOS REALES
</t>
  </si>
  <si>
    <t xml:space="preserve">II
ECUACIONES DE PRIMER GRADO Y SISTEMAS DE ECUACIONES
</t>
  </si>
  <si>
    <t xml:space="preserve">III. GEOMETRÍA BÁSICA
</t>
  </si>
  <si>
    <t>Evaluación de tipo producto, de aplicación directa de contenidos conceptuales y procedimentales, a través de un producto gráfico y resolución de situación problema. En sala de clases y horas TPE. Con retroalimentación oportuna.</t>
  </si>
  <si>
    <t>Producto y resolución de situación problema. Rúbrica y/o Pauta de Corrección</t>
  </si>
  <si>
    <r>
      <t xml:space="preserve">El/la estudiante:
- Resuelve desafíos de forma grupal con casos proporcionados por el/la docente, identificando los elementos básicos de la circunferencia.
- De forma grupal, a través de ejemplos del ámbito cotidiano y profesional, describe las propiedades de la circunferencia, incluyendo el cálculo de la longitud y la relación entre sus elementos.
</t>
    </r>
    <r>
      <rPr>
        <b/>
        <sz val="12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 xml:space="preserve">
</t>
    </r>
    <r>
      <rPr>
        <b/>
        <sz val="12"/>
        <rFont val="Calibri"/>
        <family val="2"/>
        <scheme val="minor"/>
      </rPr>
      <t xml:space="preserve">En ayudantía, </t>
    </r>
    <r>
      <rPr>
        <sz val="12"/>
        <rFont val="Calibri"/>
        <family val="2"/>
        <scheme val="minor"/>
      </rPr>
      <t xml:space="preserve">los/as estudiantes: 
- Refuerzan los contenidos vistos en cátedra mediante el desarrollo de actividades participativas y aprendizaje basado en equipos con resolución de problemas y/o situaciones contextualizadas en el área profesional.
- En reflexión guiada por el/la ayudante detectan patrones, relaciones e inconsistencias en las actividades realizadas.   </t>
    </r>
  </si>
  <si>
    <r>
      <t xml:space="preserve">El/la estudiante:
- De manera grupal y a través de situaciones contextualizadas proporcionados por el/la docente, calcula volúmenes de figuras geométricas tridimensionales básicas, como esferas, cubos, prismas y cilindros, utilizando fórmulas estándar.
- De manera grupal revisa casos en del ámbito cotidiano y profesional y detecta patrones, relaciones e inconsistencias.
- Integra patrones y relaciones matemáticas y geométricas mediante el desarrollo de problemas contextualizados en el ámbito de las ciencias agrícolas.
</t>
    </r>
    <r>
      <rPr>
        <b/>
        <sz val="12"/>
        <rFont val="Calibri"/>
        <family val="2"/>
        <scheme val="minor"/>
      </rPr>
      <t>- Entrega el producto asociado a la Evaluación 3 sumativa y, en 1 sesión de clase, responde preguntas o situaciones relacionadas con el producto entregado considerando contenidos de la Unidad III.</t>
    </r>
    <r>
      <rPr>
        <sz val="12"/>
        <rFont val="Calibri"/>
        <family val="2"/>
        <scheme val="minor"/>
      </rPr>
      <t xml:space="preserve">
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 xml:space="preserve">
</t>
    </r>
    <r>
      <rPr>
        <b/>
        <sz val="12"/>
        <rFont val="Calibri"/>
        <family val="2"/>
        <scheme val="minor"/>
      </rPr>
      <t>En ayudantía,</t>
    </r>
    <r>
      <rPr>
        <sz val="12"/>
        <rFont val="Calibri"/>
        <family val="2"/>
        <scheme val="minor"/>
      </rPr>
      <t xml:space="preserve"> los/as estudiantes: 
- Revisan su desempeño en la Evaluación (sesión de retroalimentación)
- Refuerzan los contenidos vistos en cátedra mediante el desarrollo de actividades participativas y aprendizaje basado en equipos con resolución de problemas/situaciones contextualizadas en el área profesional.
- En reflexión guiada por el/la ayudante detectan patrones, relaciones e inconsistencias en las actividades realizadas.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</si>
</sst>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Narrow"/>
      <family val="1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Aptos"/>
      <family val="2"/>
      <charset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8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327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8" borderId="0" xfId="0" applyFill="1"/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7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 wrapText="1"/>
    </xf>
    <xf numFmtId="0" fontId="16" fillId="0" borderId="0" xfId="0" applyFont="1" applyAlignment="1" applyProtection="1">
      <alignment horizontal="center"/>
      <protection locked="0"/>
    </xf>
    <xf numFmtId="1" fontId="16" fillId="0" borderId="0" xfId="0" applyNumberFormat="1" applyFont="1" applyAlignment="1" applyProtection="1">
      <alignment horizontal="center"/>
      <protection locked="0"/>
    </xf>
    <xf numFmtId="0" fontId="16" fillId="6" borderId="30" xfId="0" applyFont="1" applyFill="1" applyBorder="1" applyAlignment="1" applyProtection="1">
      <alignment horizontal="center" vertical="top"/>
      <protection locked="0"/>
    </xf>
    <xf numFmtId="0" fontId="13" fillId="5" borderId="10" xfId="0" applyFont="1" applyFill="1" applyBorder="1" applyAlignment="1" applyProtection="1">
      <alignment horizontal="center" vertical="center" wrapText="1"/>
      <protection locked="0"/>
    </xf>
    <xf numFmtId="0" fontId="0" fillId="8" borderId="0" xfId="0" applyFill="1" applyAlignment="1">
      <alignment horizontal="left" wrapText="1"/>
    </xf>
    <xf numFmtId="0" fontId="9" fillId="8" borderId="24" xfId="0" applyFont="1" applyFill="1" applyBorder="1" applyAlignment="1">
      <alignment horizontal="center" vertical="center" wrapText="1"/>
    </xf>
    <xf numFmtId="0" fontId="14" fillId="4" borderId="38" xfId="0" applyFont="1" applyFill="1" applyBorder="1" applyAlignment="1">
      <alignment horizontal="center" vertical="center" wrapText="1"/>
    </xf>
    <xf numFmtId="0" fontId="14" fillId="4" borderId="42" xfId="0" applyFont="1" applyFill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11" fillId="3" borderId="45" xfId="0" applyFont="1" applyFill="1" applyBorder="1" applyAlignment="1">
      <alignment horizontal="right"/>
    </xf>
    <xf numFmtId="0" fontId="6" fillId="7" borderId="46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1" fontId="15" fillId="5" borderId="37" xfId="0" applyNumberFormat="1" applyFont="1" applyFill="1" applyBorder="1" applyAlignment="1" applyProtection="1">
      <alignment horizontal="center" vertical="center" wrapText="1"/>
      <protection locked="0"/>
    </xf>
    <xf numFmtId="1" fontId="15" fillId="6" borderId="37" xfId="0" applyNumberFormat="1" applyFont="1" applyFill="1" applyBorder="1" applyAlignment="1" applyProtection="1">
      <alignment horizontal="center" vertical="center" wrapText="1"/>
      <protection locked="0"/>
    </xf>
    <xf numFmtId="0" fontId="13" fillId="5" borderId="1" xfId="0" applyFont="1" applyFill="1" applyBorder="1" applyAlignment="1" applyProtection="1">
      <alignment horizontal="center" vertical="center" wrapText="1"/>
      <protection locked="0"/>
    </xf>
    <xf numFmtId="0" fontId="16" fillId="6" borderId="48" xfId="0" applyFont="1" applyFill="1" applyBorder="1" applyAlignment="1" applyProtection="1">
      <alignment horizontal="center" vertical="center"/>
      <protection locked="0"/>
    </xf>
    <xf numFmtId="0" fontId="16" fillId="5" borderId="30" xfId="0" applyFont="1" applyFill="1" applyBorder="1" applyAlignment="1" applyProtection="1">
      <alignment horizontal="center" vertical="center"/>
      <protection locked="0"/>
    </xf>
    <xf numFmtId="0" fontId="16" fillId="6" borderId="30" xfId="0" applyFont="1" applyFill="1" applyBorder="1" applyAlignment="1" applyProtection="1">
      <alignment horizontal="center" vertical="center"/>
      <protection locked="0"/>
    </xf>
    <xf numFmtId="9" fontId="16" fillId="5" borderId="30" xfId="0" applyNumberFormat="1" applyFont="1" applyFill="1" applyBorder="1" applyAlignment="1" applyProtection="1">
      <alignment horizontal="center" vertical="center"/>
      <protection locked="0"/>
    </xf>
    <xf numFmtId="9" fontId="16" fillId="6" borderId="30" xfId="0" applyNumberFormat="1" applyFont="1" applyFill="1" applyBorder="1" applyAlignment="1" applyProtection="1">
      <alignment horizontal="center" vertical="center"/>
      <protection locked="0"/>
    </xf>
    <xf numFmtId="9" fontId="16" fillId="6" borderId="31" xfId="0" applyNumberFormat="1" applyFont="1" applyFill="1" applyBorder="1" applyAlignment="1" applyProtection="1">
      <alignment horizontal="center" vertical="center"/>
      <protection locked="0"/>
    </xf>
    <xf numFmtId="0" fontId="19" fillId="5" borderId="1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/>
      <protection locked="0"/>
    </xf>
    <xf numFmtId="0" fontId="17" fillId="5" borderId="1" xfId="0" applyFont="1" applyFill="1" applyBorder="1" applyAlignment="1" applyProtection="1">
      <alignment horizontal="center" vertical="center" wrapText="1"/>
      <protection locked="0"/>
    </xf>
    <xf numFmtId="0" fontId="2" fillId="5" borderId="30" xfId="0" applyFont="1" applyFill="1" applyBorder="1" applyAlignment="1" applyProtection="1">
      <alignment horizontal="left" vertical="top" wrapText="1"/>
      <protection locked="0"/>
    </xf>
    <xf numFmtId="0" fontId="16" fillId="5" borderId="1" xfId="0" applyFont="1" applyFill="1" applyBorder="1" applyAlignment="1" applyProtection="1">
      <alignment horizontal="center" vertical="center"/>
      <protection locked="0"/>
    </xf>
    <xf numFmtId="1" fontId="15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6" borderId="30" xfId="0" applyFont="1" applyFill="1" applyBorder="1" applyAlignment="1" applyProtection="1">
      <alignment horizontal="left" vertical="top" wrapText="1"/>
      <protection locked="0"/>
    </xf>
    <xf numFmtId="0" fontId="16" fillId="5" borderId="1" xfId="0" applyFont="1" applyFill="1" applyBorder="1" applyAlignment="1" applyProtection="1">
      <alignment vertical="top"/>
      <protection locked="0"/>
    </xf>
    <xf numFmtId="9" fontId="16" fillId="8" borderId="48" xfId="0" applyNumberFormat="1" applyFont="1" applyFill="1" applyBorder="1" applyAlignment="1" applyProtection="1">
      <alignment horizontal="center" vertical="center"/>
      <protection locked="0"/>
    </xf>
    <xf numFmtId="0" fontId="16" fillId="8" borderId="48" xfId="0" applyFont="1" applyFill="1" applyBorder="1" applyAlignment="1" applyProtection="1">
      <alignment horizontal="center" vertical="center"/>
      <protection locked="0"/>
    </xf>
    <xf numFmtId="1" fontId="15" fillId="8" borderId="50" xfId="0" applyNumberFormat="1" applyFont="1" applyFill="1" applyBorder="1" applyAlignment="1" applyProtection="1">
      <alignment horizontal="center" vertical="center" wrapText="1"/>
      <protection locked="0"/>
    </xf>
    <xf numFmtId="1" fontId="15" fillId="14" borderId="1" xfId="0" applyNumberFormat="1" applyFont="1" applyFill="1" applyBorder="1" applyAlignment="1" applyProtection="1">
      <alignment horizontal="center" vertical="center" wrapText="1"/>
      <protection locked="0"/>
    </xf>
    <xf numFmtId="1" fontId="20" fillId="14" borderId="1" xfId="0" applyNumberFormat="1" applyFont="1" applyFill="1" applyBorder="1" applyAlignment="1" applyProtection="1">
      <alignment horizontal="left" vertical="center" wrapText="1"/>
      <protection locked="0"/>
    </xf>
    <xf numFmtId="1" fontId="20" fillId="14" borderId="1" xfId="0" applyNumberFormat="1" applyFont="1" applyFill="1" applyBorder="1" applyAlignment="1" applyProtection="1">
      <alignment horizontal="center" vertical="center" wrapText="1"/>
      <protection locked="0"/>
    </xf>
    <xf numFmtId="9" fontId="20" fillId="14" borderId="1" xfId="1" applyFont="1" applyFill="1" applyBorder="1" applyAlignment="1" applyProtection="1">
      <alignment horizontal="center" vertical="center" wrapText="1"/>
      <protection locked="0"/>
    </xf>
    <xf numFmtId="0" fontId="16" fillId="6" borderId="50" xfId="0" applyFont="1" applyFill="1" applyBorder="1" applyAlignment="1" applyProtection="1">
      <alignment horizontal="center" vertical="top"/>
      <protection locked="0"/>
    </xf>
    <xf numFmtId="9" fontId="4" fillId="5" borderId="1" xfId="0" applyNumberFormat="1" applyFont="1" applyFill="1" applyBorder="1" applyAlignment="1" applyProtection="1">
      <alignment horizontal="center" vertical="center"/>
      <protection locked="0"/>
    </xf>
    <xf numFmtId="0" fontId="2" fillId="5" borderId="30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left"/>
      <protection locked="0"/>
    </xf>
    <xf numFmtId="164" fontId="2" fillId="5" borderId="30" xfId="0" applyNumberFormat="1" applyFont="1" applyFill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 wrapText="1"/>
    </xf>
    <xf numFmtId="0" fontId="0" fillId="8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9" fillId="11" borderId="1" xfId="0" quotePrefix="1" applyFont="1" applyFill="1" applyBorder="1" applyAlignment="1" applyProtection="1">
      <alignment horizontal="left" vertical="center" wrapText="1"/>
      <protection locked="0"/>
    </xf>
    <xf numFmtId="0" fontId="1" fillId="11" borderId="31" xfId="0" quotePrefix="1" applyFont="1" applyFill="1" applyBorder="1" applyAlignment="1" applyProtection="1">
      <alignment horizontal="left" vertical="center" wrapText="1"/>
      <protection locked="0"/>
    </xf>
    <xf numFmtId="1" fontId="15" fillId="14" borderId="1" xfId="0" quotePrefix="1" applyNumberFormat="1" applyFont="1" applyFill="1" applyBorder="1" applyAlignment="1" applyProtection="1">
      <alignment vertical="center" wrapText="1"/>
      <protection locked="0"/>
    </xf>
    <xf numFmtId="1" fontId="15" fillId="14" borderId="1" xfId="0" quotePrefix="1" applyNumberFormat="1" applyFont="1" applyFill="1" applyBorder="1" applyAlignment="1" applyProtection="1">
      <alignment horizontal="left" vertical="center" wrapText="1"/>
      <protection locked="0"/>
    </xf>
    <xf numFmtId="1" fontId="19" fillId="14" borderId="1" xfId="0" quotePrefix="1" applyNumberFormat="1" applyFont="1" applyFill="1" applyBorder="1" applyAlignment="1" applyProtection="1">
      <alignment horizontal="left" vertical="center" wrapText="1"/>
      <protection locked="0"/>
    </xf>
    <xf numFmtId="0" fontId="19" fillId="5" borderId="0" xfId="0" quotePrefix="1" applyFont="1" applyFill="1" applyAlignment="1" applyProtection="1">
      <alignment horizontal="left" vertical="center" wrapText="1"/>
      <protection locked="0"/>
    </xf>
    <xf numFmtId="1" fontId="20" fillId="14" borderId="1" xfId="0" quotePrefix="1" applyNumberFormat="1" applyFont="1" applyFill="1" applyBorder="1" applyAlignment="1" applyProtection="1">
      <alignment horizontal="left" vertical="center" wrapText="1"/>
      <protection locked="0"/>
    </xf>
    <xf numFmtId="0" fontId="19" fillId="6" borderId="8" xfId="0" quotePrefix="1" applyFont="1" applyFill="1" applyBorder="1" applyAlignment="1" applyProtection="1">
      <alignment vertical="center" wrapText="1"/>
      <protection locked="0"/>
    </xf>
    <xf numFmtId="0" fontId="19" fillId="5" borderId="1" xfId="0" quotePrefix="1" applyFont="1" applyFill="1" applyBorder="1" applyAlignment="1" applyProtection="1">
      <alignment horizontal="left" vertical="center" wrapText="1"/>
      <protection locked="0"/>
    </xf>
    <xf numFmtId="0" fontId="19" fillId="6" borderId="48" xfId="0" quotePrefix="1" applyFont="1" applyFill="1" applyBorder="1" applyAlignment="1" applyProtection="1">
      <alignment horizontal="left" vertical="center" wrapText="1"/>
      <protection locked="0"/>
    </xf>
    <xf numFmtId="0" fontId="1" fillId="6" borderId="30" xfId="0" quotePrefix="1" applyFont="1" applyFill="1" applyBorder="1" applyAlignment="1" applyProtection="1">
      <alignment horizontal="left" vertical="center" wrapText="1"/>
      <protection locked="0"/>
    </xf>
    <xf numFmtId="0" fontId="1" fillId="5" borderId="30" xfId="0" quotePrefix="1" applyFont="1" applyFill="1" applyBorder="1" applyAlignment="1" applyProtection="1">
      <alignment horizontal="left" vertical="center" wrapText="1"/>
      <protection locked="0"/>
    </xf>
    <xf numFmtId="0" fontId="1" fillId="6" borderId="53" xfId="0" quotePrefix="1" applyFont="1" applyFill="1" applyBorder="1" applyAlignment="1" applyProtection="1">
      <alignment horizontal="left" vertical="center" wrapText="1"/>
      <protection locked="0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1" fillId="6" borderId="48" xfId="0" quotePrefix="1" applyFont="1" applyFill="1" applyBorder="1" applyAlignment="1" applyProtection="1">
      <alignment horizontal="left" vertical="center" wrapText="1"/>
      <protection locked="0"/>
    </xf>
    <xf numFmtId="1" fontId="20" fillId="13" borderId="9" xfId="0" applyNumberFormat="1" applyFont="1" applyFill="1" applyBorder="1" applyAlignment="1" applyProtection="1">
      <alignment horizontal="center" vertical="center" wrapText="1"/>
      <protection locked="0"/>
    </xf>
    <xf numFmtId="1" fontId="15" fillId="6" borderId="49" xfId="0" applyNumberFormat="1" applyFont="1" applyFill="1" applyBorder="1" applyAlignment="1" applyProtection="1">
      <alignment horizontal="center" vertical="center" wrapText="1"/>
      <protection locked="0"/>
    </xf>
    <xf numFmtId="0" fontId="17" fillId="11" borderId="1" xfId="0" applyFont="1" applyFill="1" applyBorder="1" applyAlignment="1" applyProtection="1">
      <alignment horizontal="center" vertical="center" wrapText="1"/>
      <protection locked="0"/>
    </xf>
    <xf numFmtId="1" fontId="15" fillId="14" borderId="8" xfId="0" applyNumberFormat="1" applyFont="1" applyFill="1" applyBorder="1" applyAlignment="1" applyProtection="1">
      <alignment horizontal="center" vertical="center" wrapText="1"/>
      <protection locked="0"/>
    </xf>
    <xf numFmtId="0" fontId="13" fillId="6" borderId="57" xfId="0" applyFont="1" applyFill="1" applyBorder="1" applyAlignment="1" applyProtection="1">
      <alignment horizontal="center" vertical="center"/>
      <protection locked="0"/>
    </xf>
    <xf numFmtId="0" fontId="13" fillId="10" borderId="0" xfId="0" applyFont="1" applyFill="1" applyAlignment="1" applyProtection="1">
      <alignment horizontal="center" vertical="center" wrapText="1"/>
      <protection locked="0"/>
    </xf>
    <xf numFmtId="0" fontId="1" fillId="11" borderId="1" xfId="0" applyFont="1" applyFill="1" applyBorder="1" applyAlignment="1" applyProtection="1">
      <alignment horizontal="center" vertical="center" wrapText="1"/>
      <protection locked="0"/>
    </xf>
    <xf numFmtId="1" fontId="15" fillId="11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11" borderId="1" xfId="0" quotePrefix="1" applyFont="1" applyFill="1" applyBorder="1" applyAlignment="1" applyProtection="1">
      <alignment vertical="center" wrapText="1"/>
      <protection locked="0"/>
    </xf>
    <xf numFmtId="0" fontId="2" fillId="11" borderId="1" xfId="0" applyFont="1" applyFill="1" applyBorder="1" applyAlignment="1" applyProtection="1">
      <alignment vertical="top" wrapText="1"/>
      <protection locked="0"/>
    </xf>
    <xf numFmtId="0" fontId="16" fillId="11" borderId="30" xfId="0" applyFont="1" applyFill="1" applyBorder="1" applyAlignment="1" applyProtection="1">
      <alignment horizontal="center" vertical="center"/>
      <protection locked="0"/>
    </xf>
    <xf numFmtId="1" fontId="15" fillId="15" borderId="7" xfId="0" applyNumberFormat="1" applyFont="1" applyFill="1" applyBorder="1" applyAlignment="1" applyProtection="1">
      <alignment horizontal="center" vertical="center" wrapText="1"/>
      <protection locked="0"/>
    </xf>
    <xf numFmtId="0" fontId="1" fillId="15" borderId="30" xfId="0" applyFont="1" applyFill="1" applyBorder="1" applyAlignment="1" applyProtection="1">
      <alignment horizontal="left" vertical="center" wrapText="1"/>
      <protection locked="0"/>
    </xf>
    <xf numFmtId="0" fontId="19" fillId="15" borderId="53" xfId="0" applyFont="1" applyFill="1" applyBorder="1" applyAlignment="1" applyProtection="1">
      <alignment horizontal="left" vertical="center" wrapText="1"/>
      <protection locked="0"/>
    </xf>
    <xf numFmtId="1" fontId="20" fillId="15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6" borderId="53" xfId="0" quotePrefix="1" applyFont="1" applyFill="1" applyBorder="1" applyAlignment="1" applyProtection="1">
      <alignment horizontal="left" vertical="center" wrapText="1"/>
      <protection locked="0"/>
    </xf>
    <xf numFmtId="0" fontId="1" fillId="8" borderId="48" xfId="0" applyFont="1" applyFill="1" applyBorder="1" applyAlignment="1" applyProtection="1">
      <alignment horizontal="center" vertical="center"/>
      <protection locked="0"/>
    </xf>
    <xf numFmtId="0" fontId="1" fillId="8" borderId="48" xfId="0" applyFont="1" applyFill="1" applyBorder="1" applyAlignment="1" applyProtection="1">
      <alignment horizontal="center" vertical="center" wrapText="1"/>
      <protection locked="0"/>
    </xf>
    <xf numFmtId="0" fontId="1" fillId="6" borderId="30" xfId="0" applyFont="1" applyFill="1" applyBorder="1" applyAlignment="1" applyProtection="1">
      <alignment horizontal="center" vertical="center" wrapText="1"/>
      <protection locked="0"/>
    </xf>
    <xf numFmtId="0" fontId="2" fillId="15" borderId="30" xfId="0" applyFont="1" applyFill="1" applyBorder="1" applyAlignment="1" applyProtection="1">
      <alignment horizontal="left" vertical="top" wrapText="1"/>
      <protection locked="0"/>
    </xf>
    <xf numFmtId="0" fontId="1" fillId="15" borderId="30" xfId="0" applyFont="1" applyFill="1" applyBorder="1" applyAlignment="1" applyProtection="1">
      <alignment horizontal="center" vertical="center" wrapText="1"/>
      <protection locked="0"/>
    </xf>
    <xf numFmtId="0" fontId="16" fillId="15" borderId="30" xfId="0" applyFont="1" applyFill="1" applyBorder="1" applyAlignment="1" applyProtection="1">
      <alignment horizontal="center" vertical="center"/>
      <protection locked="0"/>
    </xf>
    <xf numFmtId="0" fontId="1" fillId="14" borderId="48" xfId="0" applyFont="1" applyFill="1" applyBorder="1" applyAlignment="1" applyProtection="1">
      <alignment horizontal="center" vertical="center" wrapText="1"/>
      <protection locked="0"/>
    </xf>
    <xf numFmtId="164" fontId="17" fillId="11" borderId="1" xfId="1" applyNumberFormat="1" applyFont="1" applyFill="1" applyBorder="1" applyAlignment="1" applyProtection="1">
      <alignment horizontal="center" vertical="center" wrapText="1"/>
      <protection locked="0"/>
    </xf>
    <xf numFmtId="0" fontId="17" fillId="15" borderId="30" xfId="0" applyFont="1" applyFill="1" applyBorder="1" applyAlignment="1" applyProtection="1">
      <alignment horizontal="center" vertical="center"/>
      <protection locked="0"/>
    </xf>
    <xf numFmtId="9" fontId="17" fillId="15" borderId="30" xfId="0" applyNumberFormat="1" applyFont="1" applyFill="1" applyBorder="1" applyAlignment="1" applyProtection="1">
      <alignment horizontal="center" vertical="center"/>
      <protection locked="0"/>
    </xf>
    <xf numFmtId="0" fontId="1" fillId="5" borderId="48" xfId="0" applyFont="1" applyFill="1" applyBorder="1" applyAlignment="1" applyProtection="1">
      <alignment horizontal="center" vertical="center" wrapText="1"/>
      <protection locked="0"/>
    </xf>
    <xf numFmtId="0" fontId="17" fillId="6" borderId="1" xfId="0" applyFont="1" applyFill="1" applyBorder="1" applyAlignment="1" applyProtection="1">
      <alignment vertical="center" wrapText="1"/>
      <protection locked="0"/>
    </xf>
    <xf numFmtId="0" fontId="17" fillId="6" borderId="48" xfId="0" applyFont="1" applyFill="1" applyBorder="1" applyAlignment="1" applyProtection="1">
      <alignment horizontal="center" vertical="center"/>
      <protection locked="0"/>
    </xf>
    <xf numFmtId="0" fontId="17" fillId="6" borderId="30" xfId="0" quotePrefix="1" applyFont="1" applyFill="1" applyBorder="1" applyAlignment="1" applyProtection="1">
      <alignment horizontal="left" vertical="center" wrapText="1"/>
      <protection locked="0"/>
    </xf>
    <xf numFmtId="0" fontId="1" fillId="0" borderId="54" xfId="0" quotePrefix="1" applyFont="1" applyBorder="1" applyAlignment="1" applyProtection="1">
      <alignment horizontal="left" vertical="center" wrapText="1"/>
      <protection locked="0"/>
    </xf>
    <xf numFmtId="0" fontId="19" fillId="11" borderId="8" xfId="0" quotePrefix="1" applyFont="1" applyFill="1" applyBorder="1" applyAlignment="1" applyProtection="1">
      <alignment horizontal="left" wrapText="1"/>
      <protection locked="0"/>
    </xf>
    <xf numFmtId="0" fontId="25" fillId="11" borderId="9" xfId="2" quotePrefix="1" applyFont="1" applyFill="1" applyBorder="1" applyAlignment="1" applyProtection="1">
      <alignment horizontal="left" vertical="center" wrapText="1"/>
      <protection locked="0"/>
    </xf>
    <xf numFmtId="0" fontId="25" fillId="11" borderId="9" xfId="2" applyFont="1" applyFill="1" applyBorder="1" applyAlignment="1" applyProtection="1">
      <alignment horizontal="left" vertical="top"/>
      <protection locked="0"/>
    </xf>
    <xf numFmtId="0" fontId="1" fillId="8" borderId="54" xfId="0" applyFont="1" applyFill="1" applyBorder="1" applyAlignment="1" applyProtection="1">
      <alignment horizontal="center" vertical="center" wrapText="1"/>
      <protection locked="0"/>
    </xf>
    <xf numFmtId="0" fontId="25" fillId="8" borderId="10" xfId="2" quotePrefix="1" applyFont="1" applyFill="1" applyBorder="1" applyAlignment="1" applyProtection="1">
      <alignment horizontal="left" vertical="top" wrapText="1"/>
      <protection locked="0"/>
    </xf>
    <xf numFmtId="0" fontId="1" fillId="8" borderId="8" xfId="0" quotePrefix="1" applyFont="1" applyFill="1" applyBorder="1" applyAlignment="1" applyProtection="1">
      <alignment horizontal="left" vertical="center" wrapText="1"/>
      <protection locked="0"/>
    </xf>
    <xf numFmtId="0" fontId="25" fillId="11" borderId="58" xfId="2" quotePrefix="1" applyFont="1" applyFill="1" applyBorder="1" applyAlignment="1" applyProtection="1">
      <alignment horizontal="left" vertical="center" wrapText="1"/>
      <protection locked="0"/>
    </xf>
    <xf numFmtId="0" fontId="24" fillId="8" borderId="9" xfId="2" quotePrefix="1" applyFont="1" applyFill="1" applyBorder="1" applyAlignment="1" applyProtection="1">
      <alignment horizontal="left" vertical="top" wrapText="1"/>
      <protection locked="0"/>
    </xf>
    <xf numFmtId="0" fontId="1" fillId="11" borderId="61" xfId="0" quotePrefix="1" applyFont="1" applyFill="1" applyBorder="1" applyAlignment="1" applyProtection="1">
      <alignment horizontal="left" wrapText="1"/>
      <protection locked="0"/>
    </xf>
    <xf numFmtId="0" fontId="1" fillId="8" borderId="8" xfId="0" quotePrefix="1" applyFont="1" applyFill="1" applyBorder="1" applyAlignment="1" applyProtection="1">
      <alignment horizontal="left" wrapText="1"/>
      <protection locked="0"/>
    </xf>
    <xf numFmtId="0" fontId="25" fillId="11" borderId="10" xfId="2" quotePrefix="1" applyFont="1" applyFill="1" applyBorder="1" applyAlignment="1" applyProtection="1">
      <alignment horizontal="left" vertical="top" wrapText="1"/>
      <protection locked="0"/>
    </xf>
    <xf numFmtId="0" fontId="1" fillId="11" borderId="8" xfId="0" quotePrefix="1" applyFont="1" applyFill="1" applyBorder="1" applyAlignment="1" applyProtection="1">
      <alignment horizontal="left" wrapText="1"/>
      <protection locked="0"/>
    </xf>
    <xf numFmtId="0" fontId="1" fillId="8" borderId="48" xfId="0" quotePrefix="1" applyFont="1" applyFill="1" applyBorder="1" applyAlignment="1" applyProtection="1">
      <alignment horizontal="left" vertical="center" wrapText="1"/>
      <protection locked="0"/>
    </xf>
    <xf numFmtId="1" fontId="20" fillId="14" borderId="10" xfId="0" applyNumberFormat="1" applyFont="1" applyFill="1" applyBorder="1" applyAlignment="1" applyProtection="1">
      <alignment horizontal="center" vertical="center" wrapText="1"/>
      <protection locked="0"/>
    </xf>
    <xf numFmtId="1" fontId="20" fillId="14" borderId="9" xfId="0" quotePrefix="1" applyNumberFormat="1" applyFont="1" applyFill="1" applyBorder="1" applyAlignment="1" applyProtection="1">
      <alignment horizontal="left" vertical="center" wrapText="1"/>
      <protection locked="0"/>
    </xf>
    <xf numFmtId="1" fontId="20" fillId="14" borderId="10" xfId="0" quotePrefix="1" applyNumberFormat="1" applyFont="1" applyFill="1" applyBorder="1" applyAlignment="1" applyProtection="1">
      <alignment horizontal="left" vertical="center" wrapText="1"/>
      <protection locked="0"/>
    </xf>
    <xf numFmtId="0" fontId="25" fillId="14" borderId="10" xfId="2" applyFont="1" applyFill="1" applyBorder="1" applyAlignment="1">
      <alignment horizontal="left" vertical="top"/>
    </xf>
    <xf numFmtId="0" fontId="1" fillId="15" borderId="30" xfId="0" quotePrefix="1" applyFont="1" applyFill="1" applyBorder="1" applyAlignment="1" applyProtection="1">
      <alignment horizontal="left" vertical="center" wrapText="1"/>
      <protection locked="0"/>
    </xf>
    <xf numFmtId="0" fontId="1" fillId="6" borderId="37" xfId="0" quotePrefix="1" applyFont="1" applyFill="1" applyBorder="1" applyAlignment="1" applyProtection="1">
      <alignment horizontal="left" vertical="center" wrapText="1"/>
      <protection locked="0"/>
    </xf>
    <xf numFmtId="0" fontId="1" fillId="6" borderId="1" xfId="0" applyFont="1" applyFill="1" applyBorder="1" applyAlignment="1" applyProtection="1">
      <alignment horizontal="center" vertical="center" wrapText="1"/>
      <protection locked="0"/>
    </xf>
    <xf numFmtId="0" fontId="1" fillId="5" borderId="30" xfId="0" quotePrefix="1" applyFont="1" applyFill="1" applyBorder="1" applyAlignment="1" applyProtection="1">
      <alignment horizontal="left" vertical="center"/>
      <protection locked="0"/>
    </xf>
    <xf numFmtId="0" fontId="1" fillId="6" borderId="31" xfId="0" quotePrefix="1" applyFont="1" applyFill="1" applyBorder="1" applyAlignment="1" applyProtection="1">
      <alignment vertical="center" wrapText="1"/>
      <protection locked="0"/>
    </xf>
    <xf numFmtId="0" fontId="1" fillId="5" borderId="54" xfId="0" applyFont="1" applyFill="1" applyBorder="1" applyAlignment="1" applyProtection="1">
      <alignment horizontal="center" vertical="center" wrapText="1"/>
      <protection locked="0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1" fillId="6" borderId="48" xfId="0" applyFont="1" applyFill="1" applyBorder="1" applyAlignment="1" applyProtection="1">
      <alignment horizontal="center" vertical="center" wrapText="1"/>
      <protection locked="0"/>
    </xf>
    <xf numFmtId="0" fontId="1" fillId="6" borderId="55" xfId="0" applyFont="1" applyFill="1" applyBorder="1" applyAlignment="1" applyProtection="1">
      <alignment horizontal="center" vertical="center" wrapText="1"/>
      <protection locked="0"/>
    </xf>
    <xf numFmtId="0" fontId="16" fillId="6" borderId="52" xfId="0" applyFont="1" applyFill="1" applyBorder="1" applyAlignment="1" applyProtection="1">
      <alignment horizontal="center" vertical="top"/>
      <protection locked="0"/>
    </xf>
    <xf numFmtId="0" fontId="17" fillId="6" borderId="66" xfId="0" applyFont="1" applyFill="1" applyBorder="1" applyAlignment="1" applyProtection="1">
      <alignment vertical="center" wrapText="1"/>
      <protection locked="0"/>
    </xf>
    <xf numFmtId="0" fontId="17" fillId="6" borderId="68" xfId="0" applyFont="1" applyFill="1" applyBorder="1" applyAlignment="1" applyProtection="1">
      <alignment vertical="center" wrapText="1"/>
      <protection locked="0"/>
    </xf>
    <xf numFmtId="0" fontId="1" fillId="6" borderId="67" xfId="0" applyFont="1" applyFill="1" applyBorder="1" applyAlignment="1" applyProtection="1">
      <alignment horizontal="center" vertical="center" wrapText="1"/>
      <protection locked="0"/>
    </xf>
    <xf numFmtId="0" fontId="1" fillId="5" borderId="53" xfId="0" applyFont="1" applyFill="1" applyBorder="1" applyAlignment="1" applyProtection="1">
      <alignment horizontal="left" vertical="center" wrapText="1"/>
      <protection locked="0"/>
    </xf>
    <xf numFmtId="0" fontId="1" fillId="5" borderId="52" xfId="0" applyFont="1" applyFill="1" applyBorder="1" applyAlignment="1" applyProtection="1">
      <alignment horizontal="center" vertical="center" wrapText="1"/>
      <protection locked="0"/>
    </xf>
    <xf numFmtId="0" fontId="17" fillId="5" borderId="48" xfId="0" applyFont="1" applyFill="1" applyBorder="1" applyAlignment="1" applyProtection="1">
      <alignment horizontal="center" vertical="center"/>
      <protection locked="0"/>
    </xf>
    <xf numFmtId="0" fontId="1" fillId="5" borderId="68" xfId="0" applyFont="1" applyFill="1" applyBorder="1" applyAlignment="1" applyProtection="1">
      <alignment horizontal="center" vertical="center" wrapText="1"/>
      <protection locked="0"/>
    </xf>
    <xf numFmtId="0" fontId="1" fillId="5" borderId="67" xfId="0" applyFont="1" applyFill="1" applyBorder="1" applyAlignment="1" applyProtection="1">
      <alignment horizontal="center" vertical="center" wrapText="1"/>
      <protection locked="0"/>
    </xf>
    <xf numFmtId="9" fontId="17" fillId="5" borderId="1" xfId="0" applyNumberFormat="1" applyFont="1" applyFill="1" applyBorder="1" applyAlignment="1" applyProtection="1">
      <alignment horizontal="center" vertical="center"/>
      <protection locked="0"/>
    </xf>
    <xf numFmtId="0" fontId="17" fillId="5" borderId="10" xfId="0" applyFont="1" applyFill="1" applyBorder="1" applyAlignment="1" applyProtection="1">
      <alignment horizontal="center" vertical="center"/>
      <protection locked="0"/>
    </xf>
    <xf numFmtId="0" fontId="1" fillId="5" borderId="1" xfId="0" quotePrefix="1" applyFont="1" applyFill="1" applyBorder="1" applyAlignment="1" applyProtection="1">
      <alignment vertical="center" wrapText="1"/>
      <protection locked="0"/>
    </xf>
    <xf numFmtId="0" fontId="1" fillId="15" borderId="8" xfId="0" quotePrefix="1" applyFont="1" applyFill="1" applyBorder="1" applyAlignment="1" applyProtection="1">
      <alignment horizontal="left" wrapText="1"/>
      <protection locked="0"/>
    </xf>
    <xf numFmtId="0" fontId="25" fillId="13" borderId="10" xfId="2" quotePrefix="1" applyFont="1" applyFill="1" applyBorder="1" applyAlignment="1" applyProtection="1">
      <alignment horizontal="left" vertical="top" wrapText="1"/>
      <protection locked="0"/>
    </xf>
    <xf numFmtId="0" fontId="8" fillId="0" borderId="69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16" fillId="6" borderId="52" xfId="0" applyFont="1" applyFill="1" applyBorder="1" applyAlignment="1" applyProtection="1">
      <alignment horizontal="center" vertical="center" wrapText="1"/>
      <protection locked="0"/>
    </xf>
    <xf numFmtId="9" fontId="16" fillId="6" borderId="52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2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/>
    </xf>
    <xf numFmtId="0" fontId="12" fillId="4" borderId="21" xfId="0" applyFont="1" applyFill="1" applyBorder="1" applyAlignment="1">
      <alignment horizontal="center"/>
    </xf>
    <xf numFmtId="0" fontId="12" fillId="4" borderId="22" xfId="0" applyFont="1" applyFill="1" applyBorder="1" applyAlignment="1">
      <alignment horizontal="center"/>
    </xf>
    <xf numFmtId="0" fontId="9" fillId="8" borderId="24" xfId="0" applyFont="1" applyFill="1" applyBorder="1" applyAlignment="1">
      <alignment horizontal="center" vertical="center" wrapText="1"/>
    </xf>
    <xf numFmtId="0" fontId="9" fillId="8" borderId="25" xfId="0" applyFont="1" applyFill="1" applyBorder="1" applyAlignment="1">
      <alignment horizontal="center" vertical="center" wrapText="1"/>
    </xf>
    <xf numFmtId="0" fontId="9" fillId="8" borderId="23" xfId="0" applyFont="1" applyFill="1" applyBorder="1" applyAlignment="1">
      <alignment horizontal="center" vertical="center" wrapText="1"/>
    </xf>
    <xf numFmtId="0" fontId="14" fillId="4" borderId="2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left" vertical="top"/>
    </xf>
    <xf numFmtId="0" fontId="13" fillId="4" borderId="28" xfId="0" applyFont="1" applyFill="1" applyBorder="1" applyAlignment="1">
      <alignment horizontal="left" vertical="top"/>
    </xf>
    <xf numFmtId="0" fontId="13" fillId="4" borderId="29" xfId="0" applyFont="1" applyFill="1" applyBorder="1" applyAlignment="1">
      <alignment horizontal="left" vertical="top"/>
    </xf>
    <xf numFmtId="0" fontId="14" fillId="4" borderId="1" xfId="0" applyFont="1" applyFill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 wrapText="1"/>
    </xf>
    <xf numFmtId="1" fontId="9" fillId="8" borderId="5" xfId="0" applyNumberFormat="1" applyFont="1" applyFill="1" applyBorder="1" applyAlignment="1">
      <alignment horizontal="center" vertical="center" wrapText="1"/>
    </xf>
    <xf numFmtId="1" fontId="9" fillId="8" borderId="7" xfId="0" applyNumberFormat="1" applyFont="1" applyFill="1" applyBorder="1" applyAlignment="1">
      <alignment horizontal="center" vertical="center" wrapText="1"/>
    </xf>
    <xf numFmtId="1" fontId="9" fillId="8" borderId="6" xfId="0" applyNumberFormat="1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3" fillId="4" borderId="32" xfId="0" applyFont="1" applyFill="1" applyBorder="1" applyAlignment="1">
      <alignment horizontal="left" vertical="top"/>
    </xf>
    <xf numFmtId="0" fontId="13" fillId="4" borderId="33" xfId="0" applyFont="1" applyFill="1" applyBorder="1" applyAlignment="1">
      <alignment horizontal="left" vertical="top"/>
    </xf>
    <xf numFmtId="0" fontId="13" fillId="4" borderId="34" xfId="0" applyFont="1" applyFill="1" applyBorder="1" applyAlignment="1">
      <alignment horizontal="left" vertical="top"/>
    </xf>
    <xf numFmtId="0" fontId="13" fillId="4" borderId="20" xfId="0" applyFont="1" applyFill="1" applyBorder="1" applyAlignment="1">
      <alignment horizontal="left" vertical="top"/>
    </xf>
    <xf numFmtId="0" fontId="13" fillId="4" borderId="21" xfId="0" applyFont="1" applyFill="1" applyBorder="1" applyAlignment="1">
      <alignment horizontal="left" vertical="top"/>
    </xf>
    <xf numFmtId="0" fontId="13" fillId="4" borderId="22" xfId="0" applyFont="1" applyFill="1" applyBorder="1" applyAlignment="1">
      <alignment horizontal="left" vertical="top"/>
    </xf>
    <xf numFmtId="0" fontId="14" fillId="4" borderId="35" xfId="0" applyFont="1" applyFill="1" applyBorder="1" applyAlignment="1">
      <alignment horizontal="center" vertical="center" wrapText="1"/>
    </xf>
    <xf numFmtId="0" fontId="14" fillId="4" borderId="36" xfId="0" applyFont="1" applyFill="1" applyBorder="1" applyAlignment="1">
      <alignment horizontal="center" vertical="center" wrapText="1"/>
    </xf>
    <xf numFmtId="0" fontId="9" fillId="8" borderId="47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4" fillId="4" borderId="39" xfId="0" applyFont="1" applyFill="1" applyBorder="1" applyAlignment="1">
      <alignment horizontal="center" vertical="center" wrapText="1"/>
    </xf>
    <xf numFmtId="0" fontId="14" fillId="4" borderId="40" xfId="0" applyFont="1" applyFill="1" applyBorder="1" applyAlignment="1">
      <alignment horizontal="center" vertical="center" wrapText="1"/>
    </xf>
    <xf numFmtId="0" fontId="14" fillId="4" borderId="4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1" fontId="15" fillId="5" borderId="1" xfId="0" applyNumberFormat="1" applyFont="1" applyFill="1" applyBorder="1" applyAlignment="1" applyProtection="1">
      <alignment horizontal="center" vertical="center" wrapText="1"/>
      <protection locked="0"/>
    </xf>
    <xf numFmtId="1" fontId="15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10" borderId="51" xfId="0" applyFont="1" applyFill="1" applyBorder="1" applyAlignment="1" applyProtection="1">
      <alignment horizontal="center" vertical="center" wrapText="1"/>
      <protection locked="0"/>
    </xf>
    <xf numFmtId="0" fontId="13" fillId="10" borderId="55" xfId="0" applyFont="1" applyFill="1" applyBorder="1" applyAlignment="1" applyProtection="1">
      <alignment horizontal="center" vertical="center" wrapText="1"/>
      <protection locked="0"/>
    </xf>
    <xf numFmtId="1" fontId="20" fillId="13" borderId="8" xfId="0" applyNumberFormat="1" applyFont="1" applyFill="1" applyBorder="1" applyAlignment="1" applyProtection="1">
      <alignment horizontal="center" vertical="center" wrapText="1"/>
      <protection locked="0"/>
    </xf>
    <xf numFmtId="1" fontId="20" fillId="13" borderId="9" xfId="0" applyNumberFormat="1" applyFont="1" applyFill="1" applyBorder="1" applyAlignment="1" applyProtection="1">
      <alignment horizontal="center" vertical="center" wrapText="1"/>
      <protection locked="0"/>
    </xf>
    <xf numFmtId="1" fontId="15" fillId="12" borderId="8" xfId="0" applyNumberFormat="1" applyFont="1" applyFill="1" applyBorder="1" applyAlignment="1" applyProtection="1">
      <alignment horizontal="center" vertical="center" wrapText="1"/>
      <protection locked="0"/>
    </xf>
    <xf numFmtId="1" fontId="15" fillId="12" borderId="9" xfId="0" applyNumberFormat="1" applyFont="1" applyFill="1" applyBorder="1" applyAlignment="1" applyProtection="1">
      <alignment horizontal="center" vertical="center" wrapText="1"/>
      <protection locked="0"/>
    </xf>
    <xf numFmtId="1" fontId="15" fillId="12" borderId="10" xfId="0" applyNumberFormat="1" applyFont="1" applyFill="1" applyBorder="1" applyAlignment="1" applyProtection="1">
      <alignment horizontal="center" vertical="center" wrapText="1"/>
      <protection locked="0"/>
    </xf>
    <xf numFmtId="0" fontId="19" fillId="11" borderId="8" xfId="0" applyFont="1" applyFill="1" applyBorder="1" applyAlignment="1" applyProtection="1">
      <alignment horizontal="center" vertical="center" wrapText="1"/>
      <protection locked="0"/>
    </xf>
    <xf numFmtId="0" fontId="19" fillId="11" borderId="9" xfId="0" applyFont="1" applyFill="1" applyBorder="1" applyAlignment="1" applyProtection="1">
      <alignment horizontal="center" vertical="center" wrapText="1"/>
      <protection locked="0"/>
    </xf>
    <xf numFmtId="0" fontId="19" fillId="11" borderId="10" xfId="0" applyFont="1" applyFill="1" applyBorder="1" applyAlignment="1" applyProtection="1">
      <alignment horizontal="center" vertical="center" wrapText="1"/>
      <protection locked="0"/>
    </xf>
    <xf numFmtId="0" fontId="19" fillId="11" borderId="1" xfId="0" applyFont="1" applyFill="1" applyBorder="1" applyAlignment="1" applyProtection="1">
      <alignment horizontal="center" vertical="center" wrapText="1"/>
      <protection locked="0"/>
    </xf>
    <xf numFmtId="0" fontId="19" fillId="11" borderId="1" xfId="0" quotePrefix="1" applyFont="1" applyFill="1" applyBorder="1" applyAlignment="1" applyProtection="1">
      <alignment horizontal="left" vertical="center" wrapText="1"/>
      <protection locked="0"/>
    </xf>
    <xf numFmtId="0" fontId="19" fillId="11" borderId="2" xfId="0" applyFont="1" applyFill="1" applyBorder="1" applyAlignment="1" applyProtection="1">
      <alignment horizontal="center" vertical="center" wrapText="1"/>
      <protection locked="0"/>
    </xf>
    <xf numFmtId="9" fontId="19" fillId="11" borderId="1" xfId="1" applyFont="1" applyFill="1" applyBorder="1" applyAlignment="1" applyProtection="1">
      <alignment horizontal="center" vertical="center" wrapText="1"/>
      <protection locked="0"/>
    </xf>
    <xf numFmtId="0" fontId="13" fillId="11" borderId="1" xfId="0" applyFont="1" applyFill="1" applyBorder="1" applyAlignment="1" applyProtection="1">
      <alignment horizontal="center" vertical="center" wrapText="1"/>
      <protection locked="0"/>
    </xf>
    <xf numFmtId="1" fontId="15" fillId="8" borderId="57" xfId="0" applyNumberFormat="1" applyFont="1" applyFill="1" applyBorder="1" applyAlignment="1" applyProtection="1">
      <alignment horizontal="center" vertical="center" wrapText="1"/>
      <protection locked="0"/>
    </xf>
    <xf numFmtId="1" fontId="15" fillId="8" borderId="56" xfId="0" applyNumberFormat="1" applyFont="1" applyFill="1" applyBorder="1" applyAlignment="1" applyProtection="1">
      <alignment horizontal="center" vertical="center" wrapText="1"/>
      <protection locked="0"/>
    </xf>
    <xf numFmtId="0" fontId="1" fillId="8" borderId="59" xfId="0" applyFont="1" applyFill="1" applyBorder="1" applyAlignment="1" applyProtection="1">
      <alignment horizontal="left" vertical="center" wrapText="1"/>
      <protection locked="0"/>
    </xf>
    <xf numFmtId="0" fontId="1" fillId="8" borderId="54" xfId="0" applyFont="1" applyFill="1" applyBorder="1" applyAlignment="1" applyProtection="1">
      <alignment horizontal="left" vertical="center" wrapText="1"/>
      <protection locked="0"/>
    </xf>
    <xf numFmtId="0" fontId="1" fillId="0" borderId="60" xfId="0" quotePrefix="1" applyFont="1" applyBorder="1" applyAlignment="1" applyProtection="1">
      <alignment horizontal="left" vertical="center" wrapText="1"/>
      <protection locked="0"/>
    </xf>
    <xf numFmtId="0" fontId="1" fillId="0" borderId="55" xfId="0" quotePrefix="1" applyFont="1" applyBorder="1" applyAlignment="1" applyProtection="1">
      <alignment horizontal="left" vertical="center" wrapText="1"/>
      <protection locked="0"/>
    </xf>
    <xf numFmtId="0" fontId="1" fillId="11" borderId="1" xfId="0" applyFont="1" applyFill="1" applyBorder="1" applyAlignment="1" applyProtection="1">
      <alignment horizontal="center" vertical="center" wrapText="1"/>
      <protection locked="0"/>
    </xf>
    <xf numFmtId="0" fontId="3" fillId="11" borderId="1" xfId="0" applyFont="1" applyFill="1" applyBorder="1" applyAlignment="1" applyProtection="1">
      <alignment horizontal="center" vertical="center"/>
      <protection locked="0"/>
    </xf>
    <xf numFmtId="0" fontId="17" fillId="5" borderId="31" xfId="0" applyFont="1" applyFill="1" applyBorder="1" applyAlignment="1" applyProtection="1">
      <alignment horizontal="center" vertical="center"/>
      <protection locked="0"/>
    </xf>
    <xf numFmtId="0" fontId="13" fillId="5" borderId="1" xfId="0" applyFont="1" applyFill="1" applyBorder="1" applyAlignment="1" applyProtection="1">
      <alignment horizontal="center" vertical="center" wrapText="1"/>
      <protection locked="0"/>
    </xf>
    <xf numFmtId="1" fontId="13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9" borderId="1" xfId="0" applyFont="1" applyFill="1" applyBorder="1" applyAlignment="1" applyProtection="1">
      <alignment horizontal="center" vertical="center" wrapText="1"/>
      <protection locked="0"/>
    </xf>
    <xf numFmtId="0" fontId="13" fillId="5" borderId="8" xfId="0" applyFont="1" applyFill="1" applyBorder="1" applyAlignment="1" applyProtection="1">
      <alignment horizontal="center" vertical="center" wrapText="1"/>
      <protection locked="0"/>
    </xf>
    <xf numFmtId="0" fontId="17" fillId="5" borderId="1" xfId="0" applyFont="1" applyFill="1" applyBorder="1" applyAlignment="1" applyProtection="1">
      <alignment horizontal="center" vertical="center"/>
      <protection locked="0"/>
    </xf>
    <xf numFmtId="0" fontId="1" fillId="8" borderId="59" xfId="0" applyFont="1" applyFill="1" applyBorder="1" applyAlignment="1" applyProtection="1">
      <alignment horizontal="center" vertical="center"/>
      <protection locked="0"/>
    </xf>
    <xf numFmtId="0" fontId="1" fillId="8" borderId="54" xfId="0" applyFont="1" applyFill="1" applyBorder="1" applyAlignment="1" applyProtection="1">
      <alignment horizontal="center" vertical="center"/>
      <protection locked="0"/>
    </xf>
    <xf numFmtId="0" fontId="1" fillId="8" borderId="59" xfId="0" applyFont="1" applyFill="1" applyBorder="1" applyAlignment="1" applyProtection="1">
      <alignment horizontal="center" vertical="center" wrapText="1"/>
      <protection locked="0"/>
    </xf>
    <xf numFmtId="0" fontId="1" fillId="8" borderId="54" xfId="0" applyFont="1" applyFill="1" applyBorder="1" applyAlignment="1" applyProtection="1">
      <alignment horizontal="center" vertical="center" wrapText="1"/>
      <protection locked="0"/>
    </xf>
    <xf numFmtId="9" fontId="16" fillId="8" borderId="59" xfId="0" applyNumberFormat="1" applyFont="1" applyFill="1" applyBorder="1" applyAlignment="1" applyProtection="1">
      <alignment horizontal="center" vertical="center"/>
      <protection locked="0"/>
    </xf>
    <xf numFmtId="9" fontId="16" fillId="8" borderId="54" xfId="0" applyNumberFormat="1" applyFont="1" applyFill="1" applyBorder="1" applyAlignment="1" applyProtection="1">
      <alignment horizontal="center" vertical="center"/>
      <protection locked="0"/>
    </xf>
    <xf numFmtId="0" fontId="16" fillId="8" borderId="60" xfId="0" applyFont="1" applyFill="1" applyBorder="1" applyAlignment="1" applyProtection="1">
      <alignment horizontal="center" vertical="center"/>
      <protection locked="0"/>
    </xf>
    <xf numFmtId="0" fontId="16" fillId="8" borderId="55" xfId="0" applyFont="1" applyFill="1" applyBorder="1" applyAlignment="1" applyProtection="1">
      <alignment horizontal="center" vertical="center"/>
      <protection locked="0"/>
    </xf>
    <xf numFmtId="0" fontId="1" fillId="8" borderId="57" xfId="0" applyFont="1" applyFill="1" applyBorder="1" applyAlignment="1" applyProtection="1">
      <alignment horizontal="center" vertical="center" wrapText="1"/>
      <protection locked="0"/>
    </xf>
    <xf numFmtId="0" fontId="1" fillId="8" borderId="56" xfId="0" applyFont="1" applyFill="1" applyBorder="1" applyAlignment="1" applyProtection="1">
      <alignment horizontal="center" vertical="center" wrapText="1"/>
      <protection locked="0"/>
    </xf>
    <xf numFmtId="0" fontId="1" fillId="8" borderId="62" xfId="0" applyFont="1" applyFill="1" applyBorder="1" applyAlignment="1" applyProtection="1">
      <alignment horizontal="center" vertical="center" wrapText="1"/>
      <protection locked="0"/>
    </xf>
    <xf numFmtId="0" fontId="1" fillId="8" borderId="63" xfId="0" applyFont="1" applyFill="1" applyBorder="1" applyAlignment="1" applyProtection="1">
      <alignment horizontal="center" vertical="center" wrapText="1"/>
      <protection locked="0"/>
    </xf>
    <xf numFmtId="0" fontId="1" fillId="8" borderId="57" xfId="0" quotePrefix="1" applyFont="1" applyFill="1" applyBorder="1" applyAlignment="1" applyProtection="1">
      <alignment horizontal="left" vertical="center" wrapText="1"/>
      <protection locked="0"/>
    </xf>
    <xf numFmtId="0" fontId="1" fillId="8" borderId="56" xfId="0" applyFont="1" applyFill="1" applyBorder="1" applyAlignment="1" applyProtection="1">
      <alignment horizontal="left" vertical="center" wrapText="1"/>
      <protection locked="0"/>
    </xf>
    <xf numFmtId="0" fontId="3" fillId="8" borderId="8" xfId="0" applyFont="1" applyFill="1" applyBorder="1" applyAlignment="1" applyProtection="1">
      <alignment horizontal="center" vertical="center"/>
      <protection locked="0"/>
    </xf>
    <xf numFmtId="0" fontId="3" fillId="8" borderId="10" xfId="0" applyFont="1" applyFill="1" applyBorder="1" applyAlignment="1" applyProtection="1">
      <alignment horizontal="center" vertical="center"/>
      <protection locked="0"/>
    </xf>
    <xf numFmtId="0" fontId="16" fillId="8" borderId="8" xfId="0" applyFont="1" applyFill="1" applyBorder="1" applyAlignment="1" applyProtection="1">
      <alignment horizontal="center" vertical="center" wrapText="1"/>
      <protection locked="0"/>
    </xf>
    <xf numFmtId="0" fontId="16" fillId="8" borderId="10" xfId="0" applyFont="1" applyFill="1" applyBorder="1" applyAlignment="1" applyProtection="1">
      <alignment horizontal="center" vertical="center" wrapText="1"/>
      <protection locked="0"/>
    </xf>
    <xf numFmtId="0" fontId="5" fillId="8" borderId="8" xfId="0" applyFont="1" applyFill="1" applyBorder="1" applyAlignment="1" applyProtection="1">
      <alignment horizontal="center" vertical="center" wrapText="1"/>
      <protection locked="0"/>
    </xf>
    <xf numFmtId="0" fontId="5" fillId="8" borderId="10" xfId="0" applyFont="1" applyFill="1" applyBorder="1" applyAlignment="1" applyProtection="1">
      <alignment horizontal="center" vertical="center" wrapText="1"/>
      <protection locked="0"/>
    </xf>
    <xf numFmtId="9" fontId="16" fillId="8" borderId="8" xfId="1" applyFont="1" applyFill="1" applyBorder="1" applyAlignment="1" applyProtection="1">
      <alignment horizontal="center" vertical="center"/>
      <protection locked="0"/>
    </xf>
    <xf numFmtId="9" fontId="16" fillId="8" borderId="10" xfId="1" applyFont="1" applyFill="1" applyBorder="1" applyAlignment="1" applyProtection="1">
      <alignment horizontal="center" vertical="center"/>
      <protection locked="0"/>
    </xf>
    <xf numFmtId="0" fontId="16" fillId="8" borderId="8" xfId="0" applyFont="1" applyFill="1" applyBorder="1" applyAlignment="1" applyProtection="1">
      <alignment horizontal="center" vertical="center"/>
      <protection locked="0"/>
    </xf>
    <xf numFmtId="0" fontId="16" fillId="8" borderId="10" xfId="0" applyFont="1" applyFill="1" applyBorder="1" applyAlignment="1" applyProtection="1">
      <alignment horizontal="center" vertical="center"/>
      <protection locked="0"/>
    </xf>
    <xf numFmtId="1" fontId="15" fillId="11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11" borderId="1" xfId="0" quotePrefix="1" applyFont="1" applyFill="1" applyBorder="1" applyAlignment="1" applyProtection="1">
      <alignment horizontal="left" vertical="center" wrapText="1"/>
      <protection locked="0"/>
    </xf>
    <xf numFmtId="0" fontId="1" fillId="8" borderId="1" xfId="0" quotePrefix="1" applyFont="1" applyFill="1" applyBorder="1" applyAlignment="1" applyProtection="1">
      <alignment horizontal="left" vertical="center" wrapText="1"/>
      <protection locked="0"/>
    </xf>
    <xf numFmtId="0" fontId="1" fillId="8" borderId="1" xfId="0" applyFont="1" applyFill="1" applyBorder="1" applyAlignment="1" applyProtection="1">
      <alignment horizontal="left" vertical="center" wrapText="1"/>
      <protection locked="0"/>
    </xf>
    <xf numFmtId="1" fontId="15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1" xfId="0" quotePrefix="1" applyFont="1" applyBorder="1" applyAlignment="1" applyProtection="1">
      <alignment horizontal="left" vertical="center" wrapText="1"/>
      <protection locked="0"/>
    </xf>
    <xf numFmtId="0" fontId="1" fillId="8" borderId="8" xfId="0" applyFont="1" applyFill="1" applyBorder="1" applyAlignment="1" applyProtection="1">
      <alignment horizontal="center" vertical="center" wrapText="1"/>
      <protection locked="0"/>
    </xf>
    <xf numFmtId="0" fontId="1" fillId="8" borderId="10" xfId="0" applyFont="1" applyFill="1" applyBorder="1" applyAlignment="1" applyProtection="1">
      <alignment horizontal="center" vertical="center" wrapText="1"/>
      <protection locked="0"/>
    </xf>
    <xf numFmtId="0" fontId="19" fillId="11" borderId="8" xfId="0" quotePrefix="1" applyFont="1" applyFill="1" applyBorder="1" applyAlignment="1" applyProtection="1">
      <alignment horizontal="left" vertical="center" wrapText="1"/>
      <protection locked="0"/>
    </xf>
    <xf numFmtId="0" fontId="19" fillId="11" borderId="9" xfId="0" quotePrefix="1" applyFont="1" applyFill="1" applyBorder="1" applyAlignment="1" applyProtection="1">
      <alignment horizontal="left" vertical="center" wrapText="1"/>
      <protection locked="0"/>
    </xf>
    <xf numFmtId="0" fontId="19" fillId="11" borderId="10" xfId="0" quotePrefix="1" applyFont="1" applyFill="1" applyBorder="1" applyAlignment="1" applyProtection="1">
      <alignment horizontal="left" vertical="center" wrapText="1"/>
      <protection locked="0"/>
    </xf>
    <xf numFmtId="0" fontId="17" fillId="11" borderId="1" xfId="0" applyFont="1" applyFill="1" applyBorder="1" applyAlignment="1" applyProtection="1">
      <alignment horizontal="center" vertical="center" wrapText="1"/>
      <protection locked="0"/>
    </xf>
    <xf numFmtId="0" fontId="16" fillId="11" borderId="1" xfId="0" applyFont="1" applyFill="1" applyBorder="1" applyAlignment="1" applyProtection="1">
      <alignment horizontal="center" vertical="center"/>
      <protection locked="0"/>
    </xf>
    <xf numFmtId="9" fontId="16" fillId="11" borderId="1" xfId="0" applyNumberFormat="1" applyFont="1" applyFill="1" applyBorder="1" applyAlignment="1" applyProtection="1">
      <alignment horizontal="center" vertical="center"/>
      <protection locked="0"/>
    </xf>
    <xf numFmtId="164" fontId="17" fillId="11" borderId="1" xfId="0" applyNumberFormat="1" applyFont="1" applyFill="1" applyBorder="1" applyAlignment="1" applyProtection="1">
      <alignment horizontal="center" vertical="center"/>
      <protection locked="0"/>
    </xf>
    <xf numFmtId="1" fontId="15" fillId="15" borderId="8" xfId="0" applyNumberFormat="1" applyFont="1" applyFill="1" applyBorder="1" applyAlignment="1" applyProtection="1">
      <alignment horizontal="center" vertical="center" wrapText="1"/>
      <protection locked="0"/>
    </xf>
    <xf numFmtId="1" fontId="15" fillId="15" borderId="10" xfId="0" applyNumberFormat="1" applyFont="1" applyFill="1" applyBorder="1" applyAlignment="1" applyProtection="1">
      <alignment horizontal="center" vertical="center" wrapText="1"/>
      <protection locked="0"/>
    </xf>
    <xf numFmtId="1" fontId="20" fillId="14" borderId="8" xfId="0" applyNumberFormat="1" applyFont="1" applyFill="1" applyBorder="1" applyAlignment="1" applyProtection="1">
      <alignment horizontal="left" vertical="center" wrapText="1"/>
      <protection locked="0"/>
    </xf>
    <xf numFmtId="1" fontId="20" fillId="14" borderId="9" xfId="0" applyNumberFormat="1" applyFont="1" applyFill="1" applyBorder="1" applyAlignment="1" applyProtection="1">
      <alignment horizontal="left" vertical="center" wrapText="1"/>
      <protection locked="0"/>
    </xf>
    <xf numFmtId="1" fontId="20" fillId="14" borderId="10" xfId="0" applyNumberFormat="1" applyFont="1" applyFill="1" applyBorder="1" applyAlignment="1" applyProtection="1">
      <alignment horizontal="left" vertical="center" wrapText="1"/>
      <protection locked="0"/>
    </xf>
    <xf numFmtId="1" fontId="20" fillId="14" borderId="8" xfId="0" quotePrefix="1" applyNumberFormat="1" applyFont="1" applyFill="1" applyBorder="1" applyAlignment="1" applyProtection="1">
      <alignment horizontal="left" vertical="center" wrapText="1"/>
      <protection locked="0"/>
    </xf>
    <xf numFmtId="1" fontId="20" fillId="14" borderId="9" xfId="0" quotePrefix="1" applyNumberFormat="1" applyFont="1" applyFill="1" applyBorder="1" applyAlignment="1" applyProtection="1">
      <alignment horizontal="left" vertical="center" wrapText="1"/>
      <protection locked="0"/>
    </xf>
    <xf numFmtId="1" fontId="20" fillId="14" borderId="10" xfId="0" quotePrefix="1" applyNumberFormat="1" applyFont="1" applyFill="1" applyBorder="1" applyAlignment="1" applyProtection="1">
      <alignment horizontal="left" vertical="center" wrapText="1"/>
      <protection locked="0"/>
    </xf>
    <xf numFmtId="0" fontId="1" fillId="15" borderId="8" xfId="0" applyFont="1" applyFill="1" applyBorder="1" applyAlignment="1" applyProtection="1">
      <alignment horizontal="center" vertical="center" wrapText="1"/>
      <protection locked="0"/>
    </xf>
    <xf numFmtId="0" fontId="1" fillId="15" borderId="10" xfId="0" applyFont="1" applyFill="1" applyBorder="1" applyAlignment="1" applyProtection="1">
      <alignment horizontal="center" vertical="center" wrapText="1"/>
      <protection locked="0"/>
    </xf>
    <xf numFmtId="0" fontId="3" fillId="11" borderId="1" xfId="0" applyFont="1" applyFill="1" applyBorder="1" applyAlignment="1" applyProtection="1">
      <alignment horizontal="left" vertical="center" wrapText="1"/>
      <protection locked="0"/>
    </xf>
    <xf numFmtId="0" fontId="17" fillId="11" borderId="1" xfId="0" applyFont="1" applyFill="1" applyBorder="1" applyAlignment="1" applyProtection="1">
      <alignment horizontal="center" vertical="center"/>
      <protection locked="0"/>
    </xf>
    <xf numFmtId="1" fontId="15" fillId="11" borderId="5" xfId="0" applyNumberFormat="1" applyFont="1" applyFill="1" applyBorder="1" applyAlignment="1" applyProtection="1">
      <alignment horizontal="center" vertical="center" wrapText="1"/>
      <protection locked="0"/>
    </xf>
    <xf numFmtId="1" fontId="15" fillId="11" borderId="65" xfId="0" applyNumberFormat="1" applyFont="1" applyFill="1" applyBorder="1" applyAlignment="1" applyProtection="1">
      <alignment horizontal="center" vertical="center" wrapText="1"/>
      <protection locked="0"/>
    </xf>
    <xf numFmtId="1" fontId="20" fillId="14" borderId="64" xfId="0" applyNumberFormat="1" applyFont="1" applyFill="1" applyBorder="1" applyAlignment="1" applyProtection="1">
      <alignment horizontal="center" vertical="center" wrapText="1"/>
      <protection locked="0"/>
    </xf>
    <xf numFmtId="1" fontId="20" fillId="14" borderId="7" xfId="0" applyNumberFormat="1" applyFont="1" applyFill="1" applyBorder="1" applyAlignment="1" applyProtection="1">
      <alignment horizontal="center" vertical="center" wrapText="1"/>
      <protection locked="0"/>
    </xf>
    <xf numFmtId="1" fontId="20" fillId="14" borderId="6" xfId="0" applyNumberFormat="1" applyFont="1" applyFill="1" applyBorder="1" applyAlignment="1" applyProtection="1">
      <alignment horizontal="center" vertical="center" wrapText="1"/>
      <protection locked="0"/>
    </xf>
    <xf numFmtId="0" fontId="2" fillId="15" borderId="8" xfId="0" applyFont="1" applyFill="1" applyBorder="1" applyAlignment="1" applyProtection="1">
      <alignment horizontal="center" vertical="center" wrapText="1"/>
      <protection locked="0"/>
    </xf>
    <xf numFmtId="0" fontId="2" fillId="15" borderId="10" xfId="0" applyFont="1" applyFill="1" applyBorder="1" applyAlignment="1" applyProtection="1">
      <alignment horizontal="center" vertical="center" wrapText="1"/>
      <protection locked="0"/>
    </xf>
    <xf numFmtId="0" fontId="17" fillId="15" borderId="8" xfId="0" applyFont="1" applyFill="1" applyBorder="1" applyAlignment="1" applyProtection="1">
      <alignment horizontal="center" vertical="center" wrapText="1"/>
      <protection locked="0"/>
    </xf>
    <xf numFmtId="0" fontId="17" fillId="15" borderId="10" xfId="0" applyFont="1" applyFill="1" applyBorder="1" applyAlignment="1" applyProtection="1">
      <alignment horizontal="center" vertical="center" wrapText="1"/>
      <protection locked="0"/>
    </xf>
    <xf numFmtId="0" fontId="1" fillId="15" borderId="8" xfId="0" quotePrefix="1" applyFont="1" applyFill="1" applyBorder="1" applyAlignment="1" applyProtection="1">
      <alignment horizontal="left" vertical="center" wrapText="1"/>
      <protection locked="0"/>
    </xf>
    <xf numFmtId="0" fontId="1" fillId="15" borderId="10" xfId="0" quotePrefix="1" applyFont="1" applyFill="1" applyBorder="1" applyAlignment="1" applyProtection="1">
      <alignment horizontal="left" vertical="center" wrapText="1"/>
      <protection locked="0"/>
    </xf>
    <xf numFmtId="0" fontId="19" fillId="15" borderId="8" xfId="0" quotePrefix="1" applyFont="1" applyFill="1" applyBorder="1" applyAlignment="1" applyProtection="1">
      <alignment horizontal="left" vertical="center" wrapText="1"/>
      <protection locked="0"/>
    </xf>
    <xf numFmtId="0" fontId="19" fillId="15" borderId="10" xfId="0" quotePrefix="1" applyFont="1" applyFill="1" applyBorder="1" applyAlignment="1" applyProtection="1">
      <alignment horizontal="left" vertical="center" wrapText="1"/>
      <protection locked="0"/>
    </xf>
    <xf numFmtId="1" fontId="20" fillId="14" borderId="8" xfId="0" quotePrefix="1" applyNumberFormat="1" applyFont="1" applyFill="1" applyBorder="1" applyAlignment="1" applyProtection="1">
      <alignment horizontal="left" wrapText="1"/>
      <protection locked="0"/>
    </xf>
    <xf numFmtId="1" fontId="20" fillId="14" borderId="9" xfId="0" applyNumberFormat="1" applyFont="1" applyFill="1" applyBorder="1" applyAlignment="1" applyProtection="1">
      <alignment horizontal="left" wrapText="1"/>
      <protection locked="0"/>
    </xf>
    <xf numFmtId="0" fontId="2" fillId="15" borderId="5" xfId="0" applyFont="1" applyFill="1" applyBorder="1" applyAlignment="1" applyProtection="1">
      <alignment horizontal="center" vertical="center" wrapText="1"/>
      <protection locked="0"/>
    </xf>
    <xf numFmtId="0" fontId="2" fillId="15" borderId="6" xfId="0" applyFont="1" applyFill="1" applyBorder="1" applyAlignment="1" applyProtection="1">
      <alignment horizontal="center" vertical="center" wrapText="1"/>
      <protection locked="0"/>
    </xf>
    <xf numFmtId="9" fontId="2" fillId="15" borderId="8" xfId="1" applyFont="1" applyFill="1" applyBorder="1" applyAlignment="1" applyProtection="1">
      <alignment horizontal="center" vertical="center" wrapText="1"/>
      <protection locked="0"/>
    </xf>
    <xf numFmtId="9" fontId="2" fillId="15" borderId="10" xfId="1" applyFont="1" applyFill="1" applyBorder="1" applyAlignment="1" applyProtection="1">
      <alignment horizontal="center" vertical="center" wrapText="1"/>
      <protection locked="0"/>
    </xf>
    <xf numFmtId="0" fontId="2" fillId="15" borderId="1" xfId="0" applyFont="1" applyFill="1" applyBorder="1" applyAlignment="1" applyProtection="1">
      <alignment horizontal="center" vertical="center" wrapText="1"/>
      <protection locked="0"/>
    </xf>
    <xf numFmtId="1" fontId="20" fillId="14" borderId="8" xfId="0" applyNumberFormat="1" applyFont="1" applyFill="1" applyBorder="1" applyAlignment="1" applyProtection="1">
      <alignment horizontal="center" vertical="center" wrapText="1"/>
      <protection locked="0"/>
    </xf>
    <xf numFmtId="1" fontId="20" fillId="14" borderId="9" xfId="0" applyNumberFormat="1" applyFont="1" applyFill="1" applyBorder="1" applyAlignment="1" applyProtection="1">
      <alignment horizontal="center" vertical="center" wrapText="1"/>
      <protection locked="0"/>
    </xf>
    <xf numFmtId="1" fontId="20" fillId="14" borderId="10" xfId="0" applyNumberFormat="1" applyFont="1" applyFill="1" applyBorder="1" applyAlignment="1" applyProtection="1">
      <alignment horizontal="center" vertical="center" wrapText="1"/>
      <protection locked="0"/>
    </xf>
    <xf numFmtId="9" fontId="20" fillId="14" borderId="8" xfId="1" applyFont="1" applyFill="1" applyBorder="1" applyAlignment="1" applyProtection="1">
      <alignment horizontal="center" vertical="center" wrapText="1"/>
      <protection locked="0"/>
    </xf>
    <xf numFmtId="9" fontId="20" fillId="14" borderId="9" xfId="1" applyFont="1" applyFill="1" applyBorder="1" applyAlignment="1" applyProtection="1">
      <alignment horizontal="center" vertical="center" wrapText="1"/>
      <protection locked="0"/>
    </xf>
    <xf numFmtId="9" fontId="20" fillId="14" borderId="10" xfId="1" applyFont="1" applyFill="1" applyBorder="1" applyAlignment="1" applyProtection="1">
      <alignment horizontal="center" vertical="center" wrapText="1"/>
      <protection locked="0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BC83321F-F8A7-47B0-BE29-5390B5A583AE}"/>
  </tableStyles>
  <colors>
    <mruColors>
      <color rgb="FFECF0F8"/>
      <color rgb="FFFDF0E9"/>
      <color rgb="FFFFF4D5"/>
      <color rgb="FF57257D"/>
      <color rgb="FFE8D9F3"/>
      <color rgb="FF273E1A"/>
      <color rgb="FF1826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a Andrea Villate Dueñas" id="{AF39D180-7EF9-4DCA-A42B-E272DEF78853}" userId="S::dvillated@santotomas.cl::4d0693f0-28a8-4990-8bab-ae00c150248f" providerId="AD"/>
  <person displayName="Waleska Sofía Barrera Sagredo" id="{95C6B64E-F3B6-4837-80CA-451831A1FFE7}" userId="S::wbarreras@santotomas.cl::5b4649ec-7fa9-4a0f-a7d2-a08bf6cbc055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4-10-01T17:02:21.37" personId="{AF39D180-7EF9-4DCA-A42B-E272DEF78853}" id="{2B470AB9-E341-4BC8-928C-A217D788FDA8}">
    <text>Desagregar los contenidos del programa por temas de ser necesario.</text>
  </threadedComment>
  <threadedComment ref="E2" dT="2024-10-21T19:38:25.67" personId="{AF39D180-7EF9-4DCA-A42B-E272DEF78853}" id="{5495DBB2-5D2F-4F06-BC46-2A4686350D59}">
    <text>La Experiencia de aprendizaje puede contener varias actividades. Además, una experiencia puede desarrollarse en más de 1 semana.</text>
  </threadedComment>
  <threadedComment ref="K2" dT="2023-01-05T12:32:36.25" personId="{95C6B64E-F3B6-4837-80CA-451831A1FFE7}" id="{4B7F7172-DB5D-496F-9B51-7C5585CEF950}">
    <text>DIAGNÓSTICA: Evidencia las características de entrada de los(as) estudiantes tanto en conocimientos previos como en prerrequisitos. Permite obtener información valiosa para contextualizar la Planificación Didáctica, posibilitando su adecuación conforme a sus resultados.
FORMATIVA: Permite valorar el proceso de aproximación a los aprendizajes para conocer y estimar el trabajo de los(as) estudiantes y el grado en que se van logrando los aprendizajes previstos. Además, facilita la detección de dificultades, bloqueos y sus posibles causas, permitiendo la retroalimentación. La evaluación del proceso se desarrolla durante las acciones de enseñanza y de aprendizaje con la finalidad de modificar y perfeccionar el proceso de enseñanza-aprendizaje diseñado.
SUMATIVA: Es aquella que tiene lugar al culminar un proceso de enseñanza - aprendizaje de una parte o la totalidad de una asignatura. Su principal propósito es el de determinar el grado de dominio logrado por el estudiante en relación con un resultado de aprendizaje o logro general de aprendizaje, permitiendo establecer un balance del aprendizaje que el(a) estudiante ha logrado. 
*para mayor información se recomienda consultar el Modelo de Formación UST.</text>
  </threadedComment>
  <threadedComment ref="L2" dT="2023-01-05T12:44:48.54" personId="{95C6B64E-F3B6-4837-80CA-451831A1FFE7}" id="{2D0607CA-9F40-4CB2-B727-B34FF7F805A6}">
    <text>Medio a través del cuál se evaluará al estudiantado.</text>
  </threadedComment>
  <threadedComment ref="P2" dT="2024-10-21T19:11:32.51" personId="{AF39D180-7EF9-4DCA-A42B-E272DEF78853}" id="{4409FBBC-4C32-4F3E-B1B3-E4A949B2D2AF}">
    <text>Colocar las actividades que realiza el/la estudiante de manera autónoma de preparación y/o tarea, estudio etc.</text>
  </threadedComment>
  <threadedComment ref="F3" dT="2024-10-28T14:28:26.75" personId="{AF39D180-7EF9-4DCA-A42B-E272DEF78853}" id="{723810D9-4610-478A-9932-08F3C0A69DED}">
    <text xml:space="preserve">Colocar las Horas lectivas </text>
  </threadedComment>
  <threadedComment ref="O35" dT="2024-10-25T15:59:59.88" personId="{AF39D180-7EF9-4DCA-A42B-E272DEF78853}" id="{9B3BA2F3-1618-47E9-9D70-5D8BF973A409}">
    <text xml:space="preserve">La sumatoria total debe coincidir de manera exacta con el total de hora TPR para la asignatura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am02.safelinks.protection.outlook.com/?url=https%3A%2F%2Falumnossantotomas-my.sharepoint.com%2F%3Av%3A%2Fg%2Fpersonal%2Fbraulio_briones_alumnos_santotomas_cl%2FETDMy1IUHGlEgLO7ilsPFRYBr3fhG0fKV36INFUDMwMlaA%3Fe%3DVgYflh&amp;data=05%7C01%7Camolinaru%40santotomas.cl%7Cb829320c0e4b41e6032c08da3a6138a2%7C3bb118c0bb1e441887e5d176550897cb%7C0%7C0%7C637886486488768824%7CUnknown%7CTWFpbGZsb3d8eyJWIjoiMC4wLjAwMDAiLCJQIjoiV2luMzIiLCJBTiI6Ik1haWwiLCJXVCI6Mn0%3D%7C3000%7C%7C%7C&amp;sdata=nR3qHYF%2B9%2FxzGjwjYm4zzEBS01AJ1xmlRAn4aiaKelE%3D&amp;reserved=0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s://nam02.safelinks.protection.outlook.com/?url=https%3A%2F%2Falumnossantotomas-my.sharepoint.com%2F%3Av%3A%2Fg%2Fpersonal%2Fbraulio_briones_alumnos_santotomas_cl%2FEXSdyF5Of45IkgO6IVBWvIcBb-0jEQQCkSucFsKJaOefZQ%3Fe%3DqaCBCZ&amp;data=05%7C01%7Camolinaru%40santotomas.cl%7Cb829320c0e4b41e6032c08da3a6138a2%7C3bb118c0bb1e441887e5d176550897cb%7C0%7C0%7C637886486488768824%7CUnknown%7CTWFpbGZsb3d8eyJWIjoiMC4wLjAwMDAiLCJQIjoiV2luMzIiLCJBTiI6Ik1haWwiLCJXVCI6Mn0%3D%7C3000%7C%7C%7C&amp;sdata=6UQ%2FPEh4gPCpGqx4O8j0HFyttGztUQy5l7L0v5Vs3Jc%3D&amp;reserved=0" TargetMode="External"/><Relationship Id="rId7" Type="http://schemas.openxmlformats.org/officeDocument/2006/relationships/hyperlink" Target="https://nam02.safelinks.protection.outlook.com/?url=https%3A%2F%2Falumnossantotomas-my.sharepoint.com%2F%3Av%3A%2Fg%2Fpersonal%2Fbraulio_briones_alumnos_santotomas_cl%2FEfYYd6PBc_dDukDkKf3e15cBQ3FAJUgSmpv4SVmNnjdxRg%3Fe%3Dwowhrh&amp;data=05%7C01%7Camolinaru%40santotomas.cl%7Cb829320c0e4b41e6032c08da3a6138a2%7C3bb118c0bb1e441887e5d176550897cb%7C0%7C0%7C637886486488768824%7CUnknown%7CTWFpbGZsb3d8eyJWIjoiMC4wLjAwMDAiLCJQIjoiV2luMzIiLCJBTiI6Ik1haWwiLCJXVCI6Mn0%3D%7C3000%7C%7C%7C&amp;sdata=pteNQYWv7AqFzKAkznkEC2AughTvMFTCgdnkSD3i9ow%3D&amp;reserved=0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nam02.safelinks.protection.outlook.com/?url=https%3A%2F%2Falumnossantotomas-my.sharepoint.com%2F%3Av%3A%2Fg%2Fpersonal%2Fbraulio_briones_alumnos_santotomas_cl%2FEYQgWgCZMM5Nt6OxYckclgsBM2ZsRGYmWzRRjp9xYFWgPg%3Fe%3DUAQRL2&amp;data=05%7C01%7Camolinaru%40santotomas.cl%7Cb829320c0e4b41e6032c08da3a6138a2%7C3bb118c0bb1e441887e5d176550897cb%7C0%7C0%7C637886486488612578%7CUnknown%7CTWFpbGZsb3d8eyJWIjoiMC4wLjAwMDAiLCJQIjoiV2luMzIiLCJBTiI6Ik1haWwiLCJXVCI6Mn0%3D%7C3000%7C%7C%7C&amp;sdata=JOAjYIAJHdXr2wjaviKAcyAW%2BQQWcasBGevsfHvI28c%3D&amp;reserved=0" TargetMode="External"/><Relationship Id="rId1" Type="http://schemas.openxmlformats.org/officeDocument/2006/relationships/hyperlink" Target="https://nam02.safelinks.protection.outlook.com/?url=https%3A%2F%2Falumnossantotomas-my.sharepoint.com%2F%3Av%3A%2Fg%2Fpersonal%2Fbraulio_briones_alumnos_santotomas_cl%2FEbUXzfbhUKVHijO8r5xzFeoBFDauiYwT3HKBx2Nf83Ax7g%3Fe%3D4okcnB&amp;data=05%7C01%7Camolinaru%40santotomas.cl%7Cb829320c0e4b41e6032c08da3a6138a2%7C3bb118c0bb1e441887e5d176550897cb%7C0%7C0%7C637886486488612578%7CUnknown%7CTWFpbGZsb3d8eyJWIjoiMC4wLjAwMDAiLCJQIjoiV2luMzIiLCJBTiI6Ik1haWwiLCJXVCI6Mn0%3D%7C3000%7C%7C%7C&amp;sdata=JNPCKQqiWBJ0UMavnVaXe760woDzSa9S79%2Bo1f5UKBg%3D&amp;reserved=0" TargetMode="External"/><Relationship Id="rId6" Type="http://schemas.openxmlformats.org/officeDocument/2006/relationships/hyperlink" Target="https://nam02.safelinks.protection.outlook.com/?url=https%3A%2F%2Falumnossantotomas-my.sharepoint.com%2F%3Av%3A%2Fg%2Fpersonal%2Fbraulio_briones_alumnos_santotomas_cl%2FEYUJCkyzXYFEr5ssnKMXSlQBtGu4FLSo2cVaeQmTHh3wgQ%3Fe%3D18XuhY&amp;data=05%7C01%7Camolinaru%40santotomas.cl%7Cb829320c0e4b41e6032c08da3a6138a2%7C3bb118c0bb1e441887e5d176550897cb%7C0%7C0%7C637886486488768824%7CUnknown%7CTWFpbGZsb3d8eyJWIjoiMC4wLjAwMDAiLCJQIjoiV2luMzIiLCJBTiI6Ik1haWwiLCJXVCI6Mn0%3D%7C3000%7C%7C%7C&amp;sdata=tZg7g4UUL7rJI2IMbRKXZpBEF99TdZw2Z1D0kFMAeL0%3D&amp;reserved=0" TargetMode="External"/><Relationship Id="rId11" Type="http://schemas.openxmlformats.org/officeDocument/2006/relationships/hyperlink" Target="https://nam02.safelinks.protection.outlook.com/?url=https%3A%2F%2Falumnossantotomas-my.sharepoint.com%2F%3Av%3A%2Fg%2Fpersonal%2Fbraulio_briones_alumnos_santotomas_cl%2FEc_Loc_9imVFgQI195M5e0EBNXG13qnl8A0YH8g8DzO1WA%3Fe%3DCjEisy&amp;data=05%7C01%7Camolinaru%40santotomas.cl%7Cb829320c0e4b41e6032c08da3a6138a2%7C3bb118c0bb1e441887e5d176550897cb%7C0%7C0%7C637886486488768824%7CUnknown%7CTWFpbGZsb3d8eyJWIjoiMC4wLjAwMDAiLCJQIjoiV2luMzIiLCJBTiI6Ik1haWwiLCJXVCI6Mn0%3D%7C3000%7C%7C%7C&amp;sdata=A0y%2BNjjpIrxQ8m9pu8%2FxB08V6y%2FRyAyrxEENSngJi6o%3D&amp;reserved=0" TargetMode="External"/><Relationship Id="rId5" Type="http://schemas.openxmlformats.org/officeDocument/2006/relationships/hyperlink" Target="https://nam02.safelinks.protection.outlook.com/?url=https%3A%2F%2Falumnossantotomas-my.sharepoint.com%2F%3Av%3A%2Fg%2Fpersonal%2Fbraulio_briones_alumnos_santotomas_cl%2FERVzMJ2rUBtJvAZShcS-BEABaG9OJ06XoKQYKWs_KG7z0A%3Fe%3DbwRk1v&amp;data=05%7C01%7Camolinaru%40santotomas.cl%7Cb829320c0e4b41e6032c08da3a6138a2%7C3bb118c0bb1e441887e5d176550897cb%7C0%7C0%7C637886486488768824%7CUnknown%7CTWFpbGZsb3d8eyJWIjoiMC4wLjAwMDAiLCJQIjoiV2luMzIiLCJBTiI6Ik1haWwiLCJXVCI6Mn0%3D%7C3000%7C%7C%7C&amp;sdata=VFaGp%2F01tSWeiRRvney7cuS46zQPWPUbNDLuOEASS80%3D&amp;reserved=0" TargetMode="External"/><Relationship Id="rId15" Type="http://schemas.microsoft.com/office/2017/10/relationships/threadedComment" Target="../threadedComments/threadedComment1.xml"/><Relationship Id="rId10" Type="http://schemas.openxmlformats.org/officeDocument/2006/relationships/hyperlink" Target="https://nam02.safelinks.protection.outlook.com/?url=https%3A%2F%2Falumnossantotomas-my.sharepoint.com%2F%3Av%3A%2Fg%2Fpersonal%2Fbraulio_briones_alumnos_santotomas_cl%2FEfqkD1qLGJJAu5kicLxtjUEBs7hQIJ6rKzzZD_zYq9m19g%3Fe%3DegW1Ow&amp;data=05%7C01%7Camolinaru%40santotomas.cl%7Cb829320c0e4b41e6032c08da3a6138a2%7C3bb118c0bb1e441887e5d176550897cb%7C0%7C0%7C637886486488768824%7CUnknown%7CTWFpbGZsb3d8eyJWIjoiMC4wLjAwMDAiLCJQIjoiV2luMzIiLCJBTiI6Ik1haWwiLCJXVCI6Mn0%3D%7C3000%7C%7C%7C&amp;sdata=oLpnXyT7Y4SLQiV2RM42xmpyIYNAH5ItyPpVvZgSC%2FE%3D&amp;reserved=0" TargetMode="External"/><Relationship Id="rId4" Type="http://schemas.openxmlformats.org/officeDocument/2006/relationships/hyperlink" Target="https://nam02.safelinks.protection.outlook.com/?url=https%3A%2F%2Falumnossantotomas-my.sharepoint.com%2F%3Av%3A%2Fg%2Fpersonal%2Fbraulio_briones_alumnos_santotomas_cl%2FEcT0KPtuRS1NqnYq20rFie4Bh-TfdklWjeKGDxGR1cwpqA%3Fe%3DU3dVbC&amp;data=05%7C01%7Camolinaru%40santotomas.cl%7Cb829320c0e4b41e6032c08da3a6138a2%7C3bb118c0bb1e441887e5d176550897cb%7C0%7C0%7C637886486488768824%7CUnknown%7CTWFpbGZsb3d8eyJWIjoiMC4wLjAwMDAiLCJQIjoiV2luMzIiLCJBTiI6Ik1haWwiLCJXVCI6Mn0%3D%7C3000%7C%7C%7C&amp;sdata=tsXW7CjQhbS4Mi8n1kvgg4bwGEjgU0Wwwf1RNT4W%2FpE%3D&amp;reserved=0" TargetMode="External"/><Relationship Id="rId9" Type="http://schemas.openxmlformats.org/officeDocument/2006/relationships/hyperlink" Target="https://nam02.safelinks.protection.outlook.com/?url=https%3A%2F%2Falumnossantotomas-my.sharepoint.com%2F%3Av%3A%2Fg%2Fpersonal%2Fbraulio_briones_alumnos_santotomas_cl%2FEZcFKStGVipIpjIp74V8NVUB1MCe0X9cPsCnEJpGpO769Q%3Fe%3DdpeZbe&amp;data=05%7C01%7Camolinaru%40santotomas.cl%7Cb829320c0e4b41e6032c08da3a6138a2%7C3bb118c0bb1e441887e5d176550897cb%7C0%7C0%7C637886486488768824%7CUnknown%7CTWFpbGZsb3d8eyJWIjoiMC4wLjAwMDAiLCJQIjoiV2luMzIiLCJBTiI6Ik1haWwiLCJXVCI6Mn0%3D%7C3000%7C%7C%7C&amp;sdata=Kd7%2By8IRoYj2yRIAnb7yDHujEF4FMVcmkSvYjMB9Kjk%3D&amp;reserved=0" TargetMode="External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94B7-9F30-412B-9302-138609EB7698}">
  <sheetPr codeName="Hoja1">
    <tabColor theme="9" tint="-0.499984740745262"/>
  </sheetPr>
  <dimension ref="A1:AA215"/>
  <sheetViews>
    <sheetView topLeftCell="A22" zoomScaleNormal="100" workbookViewId="0">
      <selection activeCell="B18" sqref="B18:F18"/>
    </sheetView>
  </sheetViews>
  <sheetFormatPr baseColWidth="10" defaultColWidth="11.42578125" defaultRowHeight="15" x14ac:dyDescent="0.25"/>
  <cols>
    <col min="1" max="1" width="24.28515625" customWidth="1"/>
    <col min="2" max="2" width="15.42578125" customWidth="1"/>
    <col min="3" max="3" width="17.42578125" customWidth="1"/>
    <col min="4" max="4" width="11.140625" customWidth="1"/>
    <col min="5" max="6" width="9" customWidth="1"/>
    <col min="7" max="7" width="9.140625" customWidth="1"/>
    <col min="8" max="8" width="8.7109375" customWidth="1"/>
    <col min="9" max="9" width="9.140625" customWidth="1"/>
    <col min="10" max="10" width="9.28515625" customWidth="1"/>
    <col min="11" max="11" width="9.140625" customWidth="1"/>
    <col min="12" max="12" width="11.42578125" customWidth="1"/>
  </cols>
  <sheetData>
    <row r="1" spans="1:27" ht="24" customHeight="1" thickBot="1" x14ac:dyDescent="0.35">
      <c r="A1" s="158" t="s">
        <v>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60"/>
      <c r="M1" s="6"/>
      <c r="N1" s="6"/>
      <c r="O1" s="6"/>
      <c r="P1" s="6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0.25" customHeight="1" thickBot="1" x14ac:dyDescent="0.3">
      <c r="A2" s="175" t="s">
        <v>1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7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s="1" customFormat="1" ht="24.75" customHeight="1" x14ac:dyDescent="0.25">
      <c r="A3" s="9" t="s">
        <v>2</v>
      </c>
      <c r="B3" s="169" t="s">
        <v>3</v>
      </c>
      <c r="C3" s="169"/>
      <c r="D3" s="169" t="s">
        <v>4</v>
      </c>
      <c r="E3" s="169"/>
      <c r="F3" s="169"/>
      <c r="G3" s="169"/>
      <c r="H3" s="169"/>
      <c r="I3" s="169"/>
      <c r="J3" s="169"/>
      <c r="K3" s="169"/>
      <c r="L3" s="10" t="s">
        <v>5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35.450000000000003" customHeight="1" x14ac:dyDescent="0.25">
      <c r="A4" s="55" t="s">
        <v>85</v>
      </c>
      <c r="B4" s="180" t="s">
        <v>84</v>
      </c>
      <c r="C4" s="181"/>
      <c r="D4" s="182" t="s">
        <v>86</v>
      </c>
      <c r="E4" s="182"/>
      <c r="F4" s="182"/>
      <c r="G4" s="182"/>
      <c r="H4" s="182"/>
      <c r="I4" s="182"/>
      <c r="J4" s="182"/>
      <c r="K4" s="182"/>
      <c r="L4" s="5" t="s">
        <v>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8.75" customHeight="1" x14ac:dyDescent="0.25">
      <c r="A5" s="164" t="s">
        <v>7</v>
      </c>
      <c r="B5" s="166" t="s">
        <v>8</v>
      </c>
      <c r="C5" s="168" t="s">
        <v>9</v>
      </c>
      <c r="D5" s="178" t="s">
        <v>10</v>
      </c>
      <c r="E5" s="178"/>
      <c r="F5" s="178"/>
      <c r="G5" s="178"/>
      <c r="H5" s="178"/>
      <c r="I5" s="178"/>
      <c r="J5" s="178"/>
      <c r="K5" s="178"/>
      <c r="L5" s="179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21.75" customHeight="1" x14ac:dyDescent="0.25">
      <c r="A6" s="165"/>
      <c r="B6" s="167"/>
      <c r="C6" s="169"/>
      <c r="D6" s="195" t="s">
        <v>11</v>
      </c>
      <c r="E6" s="195" t="s">
        <v>12</v>
      </c>
      <c r="F6" s="195"/>
      <c r="G6" s="195"/>
      <c r="H6" s="190" t="s">
        <v>13</v>
      </c>
      <c r="I6" s="191"/>
      <c r="J6" s="191"/>
      <c r="K6" s="192"/>
      <c r="L6" s="170" t="s">
        <v>14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 customHeight="1" x14ac:dyDescent="0.25">
      <c r="A7" s="161" t="s">
        <v>98</v>
      </c>
      <c r="B7" s="185" t="s">
        <v>99</v>
      </c>
      <c r="C7" s="205">
        <v>2025</v>
      </c>
      <c r="D7" s="195"/>
      <c r="E7" s="208" t="s">
        <v>15</v>
      </c>
      <c r="F7" s="188" t="s">
        <v>16</v>
      </c>
      <c r="G7" s="188" t="s">
        <v>17</v>
      </c>
      <c r="H7" s="188" t="s">
        <v>18</v>
      </c>
      <c r="I7" s="193" t="s">
        <v>19</v>
      </c>
      <c r="J7" s="195" t="s">
        <v>20</v>
      </c>
      <c r="K7" s="195" t="s">
        <v>21</v>
      </c>
      <c r="L7" s="17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" customHeight="1" x14ac:dyDescent="0.25">
      <c r="A8" s="162"/>
      <c r="B8" s="186"/>
      <c r="C8" s="205"/>
      <c r="D8" s="195"/>
      <c r="E8" s="209"/>
      <c r="F8" s="189"/>
      <c r="G8" s="189"/>
      <c r="H8" s="189"/>
      <c r="I8" s="194"/>
      <c r="J8" s="195"/>
      <c r="K8" s="195"/>
      <c r="L8" s="17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163"/>
      <c r="B9" s="187"/>
      <c r="C9" s="205"/>
      <c r="D9" s="173">
        <v>6</v>
      </c>
      <c r="E9" s="173">
        <v>168</v>
      </c>
      <c r="F9" s="173">
        <v>96</v>
      </c>
      <c r="G9" s="173">
        <v>72</v>
      </c>
      <c r="H9" s="173">
        <v>72</v>
      </c>
      <c r="I9" s="173">
        <v>0</v>
      </c>
      <c r="J9" s="173">
        <v>0</v>
      </c>
      <c r="K9" s="173">
        <v>36</v>
      </c>
      <c r="L9" s="183">
        <v>108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24.75" customHeight="1" x14ac:dyDescent="0.25">
      <c r="A10" s="11" t="s">
        <v>22</v>
      </c>
      <c r="B10" s="178" t="s">
        <v>23</v>
      </c>
      <c r="C10" s="178"/>
      <c r="D10" s="174"/>
      <c r="E10" s="174"/>
      <c r="F10" s="174"/>
      <c r="G10" s="174"/>
      <c r="H10" s="174"/>
      <c r="I10" s="174"/>
      <c r="J10" s="174"/>
      <c r="K10" s="174"/>
      <c r="L10" s="18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29.45" customHeight="1" thickBot="1" x14ac:dyDescent="0.3">
      <c r="A11" s="17" t="s">
        <v>24</v>
      </c>
      <c r="B11" s="206" t="s">
        <v>87</v>
      </c>
      <c r="C11" s="207"/>
      <c r="D11" s="174"/>
      <c r="E11" s="204"/>
      <c r="F11" s="204"/>
      <c r="G11" s="204"/>
      <c r="H11" s="204"/>
      <c r="I11" s="174"/>
      <c r="J11" s="204"/>
      <c r="K11" s="174"/>
      <c r="L11" s="184"/>
      <c r="M11" s="3"/>
      <c r="N11" s="3"/>
      <c r="O11" s="3"/>
      <c r="P11" s="3"/>
      <c r="Q11" s="3"/>
      <c r="R11" s="16"/>
      <c r="S11" s="3"/>
      <c r="T11" s="3"/>
      <c r="U11" s="3"/>
      <c r="V11" s="3"/>
      <c r="W11" s="3"/>
      <c r="X11" s="3"/>
      <c r="Y11" s="3"/>
      <c r="Z11" s="3"/>
      <c r="AA11" s="3"/>
    </row>
    <row r="12" spans="1:27" ht="29.45" customHeight="1" thickBot="1" x14ac:dyDescent="0.3">
      <c r="A12" s="196" t="s">
        <v>25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8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5.5" customHeight="1" x14ac:dyDescent="0.25">
      <c r="A13" s="165" t="s">
        <v>26</v>
      </c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s="57" customFormat="1" ht="36.75" customHeight="1" x14ac:dyDescent="0.25">
      <c r="A14" s="4">
        <v>1</v>
      </c>
      <c r="B14" s="213" t="s">
        <v>88</v>
      </c>
      <c r="C14" s="213"/>
      <c r="D14" s="213"/>
      <c r="E14" s="213"/>
      <c r="F14" s="213"/>
      <c r="G14" s="213"/>
      <c r="H14" s="213"/>
      <c r="I14" s="213"/>
      <c r="J14" s="213"/>
      <c r="K14" s="213"/>
      <c r="L14" s="214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spans="1:27" s="57" customFormat="1" ht="36.75" customHeight="1" x14ac:dyDescent="0.25">
      <c r="A15" s="4">
        <v>2</v>
      </c>
      <c r="B15" s="216" t="s">
        <v>89</v>
      </c>
      <c r="C15" s="217"/>
      <c r="D15" s="217"/>
      <c r="E15" s="217"/>
      <c r="F15" s="217"/>
      <c r="G15" s="217"/>
      <c r="H15" s="217"/>
      <c r="I15" s="217"/>
      <c r="J15" s="217"/>
      <c r="K15" s="217"/>
      <c r="L15" s="218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s="57" customFormat="1" ht="31.5" customHeight="1" thickBot="1" x14ac:dyDescent="0.3">
      <c r="A16" s="8">
        <v>3</v>
      </c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215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 spans="1:27" ht="24.75" customHeight="1" thickBot="1" x14ac:dyDescent="0.3">
      <c r="A17" s="199" t="s">
        <v>27</v>
      </c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20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30" customHeight="1" x14ac:dyDescent="0.25">
      <c r="A18" s="18" t="s">
        <v>28</v>
      </c>
      <c r="B18" s="210" t="s">
        <v>29</v>
      </c>
      <c r="C18" s="211"/>
      <c r="D18" s="211"/>
      <c r="E18" s="211"/>
      <c r="F18" s="212"/>
      <c r="G18" s="210" t="s">
        <v>30</v>
      </c>
      <c r="H18" s="211"/>
      <c r="I18" s="211"/>
      <c r="J18" s="211"/>
      <c r="K18" s="212"/>
      <c r="L18" s="19" t="s">
        <v>31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s="57" customFormat="1" ht="83.25" customHeight="1" x14ac:dyDescent="0.25">
      <c r="A19" s="20">
        <v>1</v>
      </c>
      <c r="B19" s="151" t="s">
        <v>90</v>
      </c>
      <c r="C19" s="151"/>
      <c r="D19" s="151"/>
      <c r="E19" s="151"/>
      <c r="F19" s="151"/>
      <c r="G19" s="152" t="s">
        <v>93</v>
      </c>
      <c r="H19" s="153"/>
      <c r="I19" s="153"/>
      <c r="J19" s="153"/>
      <c r="K19" s="154"/>
      <c r="L19" s="21">
        <v>38</v>
      </c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s="57" customFormat="1" ht="61.5" customHeight="1" x14ac:dyDescent="0.25">
      <c r="A20" s="20">
        <v>2</v>
      </c>
      <c r="B20" s="151" t="s">
        <v>91</v>
      </c>
      <c r="C20" s="151"/>
      <c r="D20" s="151"/>
      <c r="E20" s="151"/>
      <c r="F20" s="151"/>
      <c r="G20" s="152" t="s">
        <v>94</v>
      </c>
      <c r="H20" s="153"/>
      <c r="I20" s="153"/>
      <c r="J20" s="153"/>
      <c r="K20" s="154"/>
      <c r="L20" s="21">
        <v>32</v>
      </c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</row>
    <row r="21" spans="1:27" s="57" customFormat="1" ht="69" customHeight="1" thickBot="1" x14ac:dyDescent="0.3">
      <c r="A21" s="144">
        <v>3</v>
      </c>
      <c r="B21" s="151" t="s">
        <v>92</v>
      </c>
      <c r="C21" s="151"/>
      <c r="D21" s="151"/>
      <c r="E21" s="151"/>
      <c r="F21" s="151"/>
      <c r="G21" s="155" t="s">
        <v>95</v>
      </c>
      <c r="H21" s="156"/>
      <c r="I21" s="156"/>
      <c r="J21" s="156"/>
      <c r="K21" s="157"/>
      <c r="L21" s="145">
        <v>32</v>
      </c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</row>
    <row r="22" spans="1:27" s="57" customFormat="1" ht="36.75" customHeight="1" thickBot="1" x14ac:dyDescent="0.3">
      <c r="A22" s="146"/>
      <c r="B22" s="150" t="s">
        <v>172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47">
        <v>6</v>
      </c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 spans="1:27" ht="18" customHeight="1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22" t="s">
        <v>32</v>
      </c>
      <c r="L23" s="23">
        <f>SUM(L19:L22)</f>
        <v>108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24"/>
      <c r="L24" s="2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</sheetData>
  <mergeCells count="50">
    <mergeCell ref="B18:F18"/>
    <mergeCell ref="G18:K18"/>
    <mergeCell ref="B19:F19"/>
    <mergeCell ref="G19:K19"/>
    <mergeCell ref="B14:L14"/>
    <mergeCell ref="B16:L16"/>
    <mergeCell ref="B15:L15"/>
    <mergeCell ref="A12:L12"/>
    <mergeCell ref="A17:L17"/>
    <mergeCell ref="A13:L13"/>
    <mergeCell ref="E9:E11"/>
    <mergeCell ref="F9:F11"/>
    <mergeCell ref="G9:G11"/>
    <mergeCell ref="H9:H11"/>
    <mergeCell ref="J9:J11"/>
    <mergeCell ref="C7:C9"/>
    <mergeCell ref="B10:C10"/>
    <mergeCell ref="B11:C11"/>
    <mergeCell ref="D9:D11"/>
    <mergeCell ref="D6:D8"/>
    <mergeCell ref="E6:G6"/>
    <mergeCell ref="E7:E8"/>
    <mergeCell ref="F7:F8"/>
    <mergeCell ref="G7:G8"/>
    <mergeCell ref="H6:K6"/>
    <mergeCell ref="I7:I8"/>
    <mergeCell ref="K7:K8"/>
    <mergeCell ref="H7:H8"/>
    <mergeCell ref="J7:J8"/>
    <mergeCell ref="A1:L1"/>
    <mergeCell ref="A7:A9"/>
    <mergeCell ref="A5:A6"/>
    <mergeCell ref="B5:B6"/>
    <mergeCell ref="C5:C6"/>
    <mergeCell ref="L6:L8"/>
    <mergeCell ref="I9:I11"/>
    <mergeCell ref="K9:K11"/>
    <mergeCell ref="A2:L2"/>
    <mergeCell ref="B3:C3"/>
    <mergeCell ref="D3:K3"/>
    <mergeCell ref="D5:L5"/>
    <mergeCell ref="B4:C4"/>
    <mergeCell ref="D4:K4"/>
    <mergeCell ref="L9:L11"/>
    <mergeCell ref="B7:B9"/>
    <mergeCell ref="B22:K22"/>
    <mergeCell ref="B20:F20"/>
    <mergeCell ref="B21:F21"/>
    <mergeCell ref="G20:K20"/>
    <mergeCell ref="G21:K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87AB5-0D77-4302-A4AF-D6A38B4BB253}">
  <sheetPr>
    <tabColor theme="9" tint="-0.249977111117893"/>
  </sheetPr>
  <dimension ref="A1:P35"/>
  <sheetViews>
    <sheetView showGridLines="0" tabSelected="1" topLeftCell="B1" zoomScale="58" zoomScaleNormal="58" zoomScaleSheetLayoutView="63" workbookViewId="0">
      <pane ySplit="3" topLeftCell="A4" activePane="bottomLeft" state="frozen"/>
      <selection pane="bottomLeft" activeCell="F4" sqref="F4:F8"/>
    </sheetView>
  </sheetViews>
  <sheetFormatPr baseColWidth="10" defaultColWidth="11.42578125" defaultRowHeight="15.75" x14ac:dyDescent="0.25"/>
  <cols>
    <col min="1" max="1" width="24.28515625" style="12" customWidth="1"/>
    <col min="2" max="2" width="31.42578125" style="12" customWidth="1"/>
    <col min="3" max="3" width="15.42578125" style="13" customWidth="1"/>
    <col min="4" max="4" width="57" style="12" customWidth="1"/>
    <col min="5" max="5" width="110" style="35" customWidth="1"/>
    <col min="6" max="9" width="17.42578125" style="12" customWidth="1"/>
    <col min="10" max="10" width="39.7109375" style="12" customWidth="1"/>
    <col min="11" max="11" width="29.7109375" style="12" customWidth="1"/>
    <col min="12" max="12" width="50" style="52" customWidth="1"/>
    <col min="13" max="13" width="30.28515625" style="12" customWidth="1"/>
    <col min="14" max="14" width="29.140625" style="12" customWidth="1"/>
    <col min="15" max="15" width="16.28515625" style="12" customWidth="1"/>
    <col min="16" max="16" width="53" style="12" customWidth="1"/>
    <col min="17" max="16384" width="11.42578125" style="12"/>
  </cols>
  <sheetData>
    <row r="1" spans="1:16" ht="45" hidden="1" customHeight="1" x14ac:dyDescent="0.25">
      <c r="A1" s="244" t="s">
        <v>33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</row>
    <row r="2" spans="1:16" ht="45" hidden="1" customHeight="1" x14ac:dyDescent="0.25">
      <c r="A2" s="245" t="s">
        <v>34</v>
      </c>
      <c r="B2" s="245" t="s">
        <v>35</v>
      </c>
      <c r="C2" s="246" t="s">
        <v>36</v>
      </c>
      <c r="D2" s="245" t="s">
        <v>37</v>
      </c>
      <c r="E2" s="245" t="s">
        <v>38</v>
      </c>
      <c r="F2" s="249" t="s">
        <v>39</v>
      </c>
      <c r="G2" s="249"/>
      <c r="H2" s="249"/>
      <c r="I2" s="249"/>
      <c r="J2" s="245" t="s">
        <v>40</v>
      </c>
      <c r="K2" s="247" t="s">
        <v>41</v>
      </c>
      <c r="L2" s="247" t="s">
        <v>42</v>
      </c>
      <c r="M2" s="247" t="s">
        <v>43</v>
      </c>
      <c r="N2" s="247" t="s">
        <v>44</v>
      </c>
      <c r="O2" s="245" t="s">
        <v>45</v>
      </c>
      <c r="P2" s="245" t="s">
        <v>46</v>
      </c>
    </row>
    <row r="3" spans="1:16" ht="53.25" customHeight="1" x14ac:dyDescent="0.25">
      <c r="A3" s="245"/>
      <c r="B3" s="245"/>
      <c r="C3" s="246"/>
      <c r="D3" s="245"/>
      <c r="E3" s="245"/>
      <c r="F3" s="27" t="s">
        <v>18</v>
      </c>
      <c r="G3" s="27" t="s">
        <v>19</v>
      </c>
      <c r="H3" s="27" t="s">
        <v>20</v>
      </c>
      <c r="I3" s="27" t="s">
        <v>21</v>
      </c>
      <c r="J3" s="245"/>
      <c r="K3" s="247"/>
      <c r="L3" s="247"/>
      <c r="M3" s="247"/>
      <c r="N3" s="247"/>
      <c r="O3" s="245"/>
      <c r="P3" s="248"/>
    </row>
    <row r="4" spans="1:16" ht="311.25" customHeight="1" x14ac:dyDescent="0.25">
      <c r="A4" s="221" t="s">
        <v>173</v>
      </c>
      <c r="B4" s="228" t="s">
        <v>90</v>
      </c>
      <c r="C4" s="235">
        <v>1</v>
      </c>
      <c r="D4" s="232" t="s">
        <v>106</v>
      </c>
      <c r="E4" s="232" t="s">
        <v>101</v>
      </c>
      <c r="F4" s="231">
        <v>4</v>
      </c>
      <c r="G4" s="231"/>
      <c r="H4" s="231"/>
      <c r="I4" s="231">
        <v>2</v>
      </c>
      <c r="J4" s="232" t="s">
        <v>155</v>
      </c>
      <c r="K4" s="231" t="s">
        <v>47</v>
      </c>
      <c r="L4" s="231" t="s">
        <v>132</v>
      </c>
      <c r="M4" s="231" t="s">
        <v>133</v>
      </c>
      <c r="N4" s="234">
        <v>0</v>
      </c>
      <c r="O4" s="233">
        <v>4</v>
      </c>
      <c r="P4" s="104" t="s">
        <v>157</v>
      </c>
    </row>
    <row r="5" spans="1:16" ht="36" customHeight="1" x14ac:dyDescent="0.25">
      <c r="A5" s="222"/>
      <c r="B5" s="229"/>
      <c r="C5" s="235"/>
      <c r="D5" s="232"/>
      <c r="E5" s="232"/>
      <c r="F5" s="231"/>
      <c r="G5" s="231"/>
      <c r="H5" s="231"/>
      <c r="I5" s="231"/>
      <c r="J5" s="232"/>
      <c r="K5" s="231"/>
      <c r="L5" s="231"/>
      <c r="M5" s="231"/>
      <c r="N5" s="234"/>
      <c r="O5" s="231"/>
      <c r="P5" s="105" t="s">
        <v>144</v>
      </c>
    </row>
    <row r="6" spans="1:16" ht="36" customHeight="1" x14ac:dyDescent="0.25">
      <c r="A6" s="222"/>
      <c r="B6" s="229"/>
      <c r="C6" s="235"/>
      <c r="D6" s="232"/>
      <c r="E6" s="232"/>
      <c r="F6" s="231"/>
      <c r="G6" s="231"/>
      <c r="H6" s="231"/>
      <c r="I6" s="231"/>
      <c r="J6" s="232"/>
      <c r="K6" s="231"/>
      <c r="L6" s="231"/>
      <c r="M6" s="231"/>
      <c r="N6" s="234"/>
      <c r="O6" s="231"/>
      <c r="P6" s="105" t="s">
        <v>144</v>
      </c>
    </row>
    <row r="7" spans="1:16" ht="36" customHeight="1" x14ac:dyDescent="0.25">
      <c r="A7" s="222"/>
      <c r="B7" s="229"/>
      <c r="C7" s="235"/>
      <c r="D7" s="232"/>
      <c r="E7" s="232"/>
      <c r="F7" s="231"/>
      <c r="G7" s="231"/>
      <c r="H7" s="231"/>
      <c r="I7" s="231"/>
      <c r="J7" s="232"/>
      <c r="K7" s="231"/>
      <c r="L7" s="231"/>
      <c r="M7" s="231"/>
      <c r="N7" s="234"/>
      <c r="O7" s="231"/>
      <c r="P7" s="105" t="s">
        <v>145</v>
      </c>
    </row>
    <row r="8" spans="1:16" ht="36" customHeight="1" x14ac:dyDescent="0.25">
      <c r="A8" s="222"/>
      <c r="B8" s="229"/>
      <c r="C8" s="235"/>
      <c r="D8" s="232"/>
      <c r="E8" s="232"/>
      <c r="F8" s="231"/>
      <c r="G8" s="231"/>
      <c r="H8" s="231"/>
      <c r="I8" s="231"/>
      <c r="J8" s="232"/>
      <c r="K8" s="231"/>
      <c r="L8" s="231"/>
      <c r="M8" s="231"/>
      <c r="N8" s="234"/>
      <c r="O8" s="231"/>
      <c r="P8" s="106" t="s">
        <v>146</v>
      </c>
    </row>
    <row r="9" spans="1:16" ht="133.5" customHeight="1" x14ac:dyDescent="0.25">
      <c r="A9" s="222"/>
      <c r="B9" s="229"/>
      <c r="C9" s="236">
        <v>2</v>
      </c>
      <c r="D9" s="238" t="s">
        <v>124</v>
      </c>
      <c r="E9" s="240" t="s">
        <v>103</v>
      </c>
      <c r="F9" s="258">
        <v>4</v>
      </c>
      <c r="G9" s="252"/>
      <c r="H9" s="252"/>
      <c r="I9" s="260">
        <v>2</v>
      </c>
      <c r="J9" s="262" t="s">
        <v>155</v>
      </c>
      <c r="K9" s="250" t="s">
        <v>48</v>
      </c>
      <c r="L9" s="252" t="s">
        <v>142</v>
      </c>
      <c r="M9" s="252" t="s">
        <v>134</v>
      </c>
      <c r="N9" s="254">
        <v>0</v>
      </c>
      <c r="O9" s="256">
        <v>4</v>
      </c>
      <c r="P9" s="109" t="s">
        <v>156</v>
      </c>
    </row>
    <row r="10" spans="1:16" ht="132.75" customHeight="1" x14ac:dyDescent="0.25">
      <c r="A10" s="222"/>
      <c r="B10" s="229"/>
      <c r="C10" s="237"/>
      <c r="D10" s="239"/>
      <c r="E10" s="241"/>
      <c r="F10" s="259"/>
      <c r="G10" s="253"/>
      <c r="H10" s="253"/>
      <c r="I10" s="261"/>
      <c r="J10" s="263"/>
      <c r="K10" s="251"/>
      <c r="L10" s="253"/>
      <c r="M10" s="253"/>
      <c r="N10" s="255"/>
      <c r="O10" s="257"/>
      <c r="P10" s="108" t="s">
        <v>147</v>
      </c>
    </row>
    <row r="11" spans="1:16" ht="168" customHeight="1" x14ac:dyDescent="0.25">
      <c r="A11" s="222"/>
      <c r="B11" s="229"/>
      <c r="C11" s="274">
        <v>3</v>
      </c>
      <c r="D11" s="275" t="s">
        <v>148</v>
      </c>
      <c r="E11" s="275" t="s">
        <v>102</v>
      </c>
      <c r="F11" s="242">
        <v>4</v>
      </c>
      <c r="G11" s="285"/>
      <c r="H11" s="285"/>
      <c r="I11" s="242">
        <v>2</v>
      </c>
      <c r="J11" s="282" t="s">
        <v>155</v>
      </c>
      <c r="K11" s="243" t="s">
        <v>48</v>
      </c>
      <c r="L11" s="242" t="s">
        <v>142</v>
      </c>
      <c r="M11" s="242" t="s">
        <v>134</v>
      </c>
      <c r="N11" s="287">
        <v>0</v>
      </c>
      <c r="O11" s="286">
        <v>4</v>
      </c>
      <c r="P11" s="112" t="s">
        <v>157</v>
      </c>
    </row>
    <row r="12" spans="1:16" ht="34.5" customHeight="1" x14ac:dyDescent="0.25">
      <c r="A12" s="222"/>
      <c r="B12" s="229"/>
      <c r="C12" s="274"/>
      <c r="D12" s="275"/>
      <c r="E12" s="275"/>
      <c r="F12" s="242"/>
      <c r="G12" s="285"/>
      <c r="H12" s="285"/>
      <c r="I12" s="242"/>
      <c r="J12" s="283"/>
      <c r="K12" s="243"/>
      <c r="L12" s="242"/>
      <c r="M12" s="242"/>
      <c r="N12" s="287"/>
      <c r="O12" s="286"/>
      <c r="P12" s="110" t="s">
        <v>149</v>
      </c>
    </row>
    <row r="13" spans="1:16" ht="34.5" customHeight="1" x14ac:dyDescent="0.25">
      <c r="A13" s="222"/>
      <c r="B13" s="229"/>
      <c r="C13" s="274"/>
      <c r="D13" s="275"/>
      <c r="E13" s="275"/>
      <c r="F13" s="242"/>
      <c r="G13" s="285"/>
      <c r="H13" s="285"/>
      <c r="I13" s="242"/>
      <c r="J13" s="284"/>
      <c r="K13" s="243"/>
      <c r="L13" s="242"/>
      <c r="M13" s="242"/>
      <c r="N13" s="287"/>
      <c r="O13" s="286"/>
      <c r="P13" s="110" t="s">
        <v>150</v>
      </c>
    </row>
    <row r="14" spans="1:16" ht="178.5" customHeight="1" x14ac:dyDescent="0.25">
      <c r="A14" s="222"/>
      <c r="B14" s="229"/>
      <c r="C14" s="278">
        <v>4</v>
      </c>
      <c r="D14" s="276" t="s">
        <v>105</v>
      </c>
      <c r="E14" s="279" t="s">
        <v>104</v>
      </c>
      <c r="F14" s="280">
        <v>4</v>
      </c>
      <c r="G14" s="280"/>
      <c r="H14" s="280"/>
      <c r="I14" s="280">
        <v>2</v>
      </c>
      <c r="J14" s="276" t="s">
        <v>155</v>
      </c>
      <c r="K14" s="264"/>
      <c r="L14" s="266"/>
      <c r="M14" s="268"/>
      <c r="N14" s="270"/>
      <c r="O14" s="272">
        <v>4</v>
      </c>
      <c r="P14" s="113" t="s">
        <v>157</v>
      </c>
    </row>
    <row r="15" spans="1:16" ht="67.5" customHeight="1" x14ac:dyDescent="0.25">
      <c r="A15" s="222"/>
      <c r="B15" s="229"/>
      <c r="C15" s="278"/>
      <c r="D15" s="276"/>
      <c r="E15" s="279"/>
      <c r="F15" s="281"/>
      <c r="G15" s="281"/>
      <c r="H15" s="281"/>
      <c r="I15" s="281"/>
      <c r="J15" s="277"/>
      <c r="K15" s="265"/>
      <c r="L15" s="267"/>
      <c r="M15" s="269"/>
      <c r="N15" s="271"/>
      <c r="O15" s="273"/>
      <c r="P15" s="111" t="s">
        <v>151</v>
      </c>
    </row>
    <row r="16" spans="1:16" ht="158.25" customHeight="1" x14ac:dyDescent="0.25">
      <c r="A16" s="222"/>
      <c r="B16" s="229"/>
      <c r="C16" s="301">
        <v>5</v>
      </c>
      <c r="D16" s="275" t="s">
        <v>125</v>
      </c>
      <c r="E16" s="275" t="s">
        <v>135</v>
      </c>
      <c r="F16" s="242">
        <v>4</v>
      </c>
      <c r="G16" s="242"/>
      <c r="H16" s="242"/>
      <c r="I16" s="242">
        <v>2</v>
      </c>
      <c r="J16" s="275" t="s">
        <v>155</v>
      </c>
      <c r="K16" s="300" t="s">
        <v>49</v>
      </c>
      <c r="L16" s="242" t="s">
        <v>141</v>
      </c>
      <c r="M16" s="242" t="s">
        <v>127</v>
      </c>
      <c r="N16" s="288">
        <v>0.17499999999999999</v>
      </c>
      <c r="O16" s="286">
        <v>4</v>
      </c>
      <c r="P16" s="115" t="s">
        <v>162</v>
      </c>
    </row>
    <row r="17" spans="1:16" ht="39" customHeight="1" x14ac:dyDescent="0.25">
      <c r="A17" s="222"/>
      <c r="B17" s="229"/>
      <c r="C17" s="302"/>
      <c r="D17" s="275"/>
      <c r="E17" s="275"/>
      <c r="F17" s="242"/>
      <c r="G17" s="242"/>
      <c r="H17" s="242"/>
      <c r="I17" s="242"/>
      <c r="J17" s="299"/>
      <c r="K17" s="300"/>
      <c r="L17" s="242"/>
      <c r="M17" s="242"/>
      <c r="N17" s="288"/>
      <c r="O17" s="286"/>
      <c r="P17" s="114" t="s">
        <v>152</v>
      </c>
    </row>
    <row r="18" spans="1:16" ht="259.5" customHeight="1" x14ac:dyDescent="0.25">
      <c r="A18" s="222"/>
      <c r="B18" s="229"/>
      <c r="C18" s="44">
        <v>6</v>
      </c>
      <c r="D18" s="116" t="s">
        <v>107</v>
      </c>
      <c r="E18" s="103" t="s">
        <v>108</v>
      </c>
      <c r="F18" s="107">
        <v>4</v>
      </c>
      <c r="G18" s="107"/>
      <c r="H18" s="107"/>
      <c r="I18" s="107">
        <v>2</v>
      </c>
      <c r="J18" s="116" t="s">
        <v>158</v>
      </c>
      <c r="K18" s="89" t="s">
        <v>48</v>
      </c>
      <c r="L18" s="90" t="s">
        <v>142</v>
      </c>
      <c r="M18" s="90" t="s">
        <v>134</v>
      </c>
      <c r="N18" s="42">
        <v>0</v>
      </c>
      <c r="O18" s="43">
        <v>4</v>
      </c>
      <c r="P18" s="116" t="s">
        <v>160</v>
      </c>
    </row>
    <row r="19" spans="1:16" ht="150.75" customHeight="1" x14ac:dyDescent="0.25">
      <c r="A19" s="78"/>
      <c r="B19" s="230"/>
      <c r="C19" s="80">
        <v>7</v>
      </c>
      <c r="D19" s="58" t="s">
        <v>128</v>
      </c>
      <c r="E19" s="81" t="s">
        <v>159</v>
      </c>
      <c r="F19" s="79"/>
      <c r="G19" s="79"/>
      <c r="H19" s="79"/>
      <c r="I19" s="79">
        <v>2</v>
      </c>
      <c r="J19" s="82"/>
      <c r="K19" s="75" t="s">
        <v>49</v>
      </c>
      <c r="L19" s="79" t="s">
        <v>137</v>
      </c>
      <c r="M19" s="79" t="s">
        <v>140</v>
      </c>
      <c r="N19" s="96">
        <v>0.17499999999999999</v>
      </c>
      <c r="O19" s="83">
        <v>10</v>
      </c>
      <c r="P19" s="59" t="s">
        <v>161</v>
      </c>
    </row>
    <row r="20" spans="1:16" ht="147.75" customHeight="1" x14ac:dyDescent="0.25">
      <c r="A20" s="225" t="s">
        <v>174</v>
      </c>
      <c r="B20" s="223" t="s">
        <v>91</v>
      </c>
      <c r="C20" s="76">
        <v>7</v>
      </c>
      <c r="D20" s="291" t="s">
        <v>109</v>
      </c>
      <c r="E20" s="294" t="s">
        <v>110</v>
      </c>
      <c r="F20" s="47">
        <v>4</v>
      </c>
      <c r="G20" s="47"/>
      <c r="H20" s="47"/>
      <c r="I20" s="47">
        <v>0</v>
      </c>
      <c r="J20" s="294" t="s">
        <v>164</v>
      </c>
      <c r="K20" s="321" t="s">
        <v>48</v>
      </c>
      <c r="L20" s="321" t="s">
        <v>142</v>
      </c>
      <c r="M20" s="321" t="s">
        <v>134</v>
      </c>
      <c r="N20" s="324">
        <v>0</v>
      </c>
      <c r="O20" s="303">
        <v>4</v>
      </c>
      <c r="P20" s="314" t="s">
        <v>157</v>
      </c>
    </row>
    <row r="21" spans="1:16" ht="74.25" customHeight="1" x14ac:dyDescent="0.25">
      <c r="A21" s="226"/>
      <c r="B21" s="224"/>
      <c r="C21" s="289">
        <v>8</v>
      </c>
      <c r="D21" s="292"/>
      <c r="E21" s="295"/>
      <c r="F21" s="297">
        <v>4</v>
      </c>
      <c r="G21" s="297"/>
      <c r="H21" s="297"/>
      <c r="I21" s="297">
        <v>2</v>
      </c>
      <c r="J21" s="292"/>
      <c r="K21" s="322"/>
      <c r="L21" s="322"/>
      <c r="M21" s="322"/>
      <c r="N21" s="325"/>
      <c r="O21" s="304"/>
      <c r="P21" s="315"/>
    </row>
    <row r="22" spans="1:16" ht="120" customHeight="1" x14ac:dyDescent="0.25">
      <c r="A22" s="226"/>
      <c r="B22" s="224"/>
      <c r="C22" s="290"/>
      <c r="D22" s="293"/>
      <c r="E22" s="296"/>
      <c r="F22" s="298"/>
      <c r="G22" s="298"/>
      <c r="H22" s="298"/>
      <c r="I22" s="298"/>
      <c r="J22" s="293"/>
      <c r="K22" s="323"/>
      <c r="L22" s="323"/>
      <c r="M22" s="323"/>
      <c r="N22" s="326"/>
      <c r="O22" s="305"/>
      <c r="P22" s="120" t="s">
        <v>153</v>
      </c>
    </row>
    <row r="23" spans="1:16" ht="246.75" customHeight="1" x14ac:dyDescent="0.25">
      <c r="A23" s="226"/>
      <c r="B23" s="224"/>
      <c r="C23" s="45">
        <v>9</v>
      </c>
      <c r="D23" s="60" t="s">
        <v>112</v>
      </c>
      <c r="E23" s="61" t="s">
        <v>111</v>
      </c>
      <c r="F23" s="47">
        <v>4</v>
      </c>
      <c r="G23" s="47"/>
      <c r="H23" s="47"/>
      <c r="I23" s="47">
        <v>2</v>
      </c>
      <c r="J23" s="64" t="s">
        <v>163</v>
      </c>
      <c r="K23" s="47"/>
      <c r="L23" s="46"/>
      <c r="M23" s="47"/>
      <c r="N23" s="48"/>
      <c r="O23" s="47">
        <v>4</v>
      </c>
      <c r="P23" s="118" t="s">
        <v>131</v>
      </c>
    </row>
    <row r="24" spans="1:16" ht="201.75" customHeight="1" x14ac:dyDescent="0.25">
      <c r="A24" s="226"/>
      <c r="B24" s="224"/>
      <c r="C24" s="308">
        <v>10</v>
      </c>
      <c r="D24" s="310" t="s">
        <v>130</v>
      </c>
      <c r="E24" s="312" t="s">
        <v>129</v>
      </c>
      <c r="F24" s="306">
        <v>4</v>
      </c>
      <c r="G24" s="306"/>
      <c r="H24" s="306"/>
      <c r="I24" s="306">
        <v>2</v>
      </c>
      <c r="J24" s="310" t="s">
        <v>155</v>
      </c>
      <c r="K24" s="320"/>
      <c r="L24" s="320"/>
      <c r="M24" s="320"/>
      <c r="N24" s="318"/>
      <c r="O24" s="316">
        <v>4</v>
      </c>
      <c r="P24" s="142" t="s">
        <v>166</v>
      </c>
    </row>
    <row r="25" spans="1:16" ht="46.5" customHeight="1" x14ac:dyDescent="0.25">
      <c r="A25" s="226"/>
      <c r="B25" s="224"/>
      <c r="C25" s="309"/>
      <c r="D25" s="311"/>
      <c r="E25" s="313"/>
      <c r="F25" s="307"/>
      <c r="G25" s="307"/>
      <c r="H25" s="307"/>
      <c r="I25" s="307"/>
      <c r="J25" s="311"/>
      <c r="K25" s="320"/>
      <c r="L25" s="320"/>
      <c r="M25" s="320"/>
      <c r="N25" s="319"/>
      <c r="O25" s="317"/>
      <c r="P25" s="143" t="s">
        <v>154</v>
      </c>
    </row>
    <row r="26" spans="1:16" ht="217.5" customHeight="1" x14ac:dyDescent="0.25">
      <c r="A26" s="226"/>
      <c r="B26" s="224"/>
      <c r="C26" s="45">
        <v>11</v>
      </c>
      <c r="D26" s="64" t="s">
        <v>116</v>
      </c>
      <c r="E26" s="62" t="s">
        <v>113</v>
      </c>
      <c r="F26" s="47">
        <v>4</v>
      </c>
      <c r="G26" s="47"/>
      <c r="H26" s="47"/>
      <c r="I26" s="47">
        <v>2</v>
      </c>
      <c r="J26" s="64" t="s">
        <v>163</v>
      </c>
      <c r="K26" s="117" t="s">
        <v>48</v>
      </c>
      <c r="L26" s="95" t="s">
        <v>142</v>
      </c>
      <c r="M26" s="95" t="s">
        <v>134</v>
      </c>
      <c r="N26" s="48">
        <v>0</v>
      </c>
      <c r="O26" s="47">
        <v>4</v>
      </c>
      <c r="P26" s="119" t="s">
        <v>167</v>
      </c>
    </row>
    <row r="27" spans="1:16" ht="147" customHeight="1" x14ac:dyDescent="0.25">
      <c r="A27" s="227"/>
      <c r="B27" s="73"/>
      <c r="C27" s="84">
        <v>12</v>
      </c>
      <c r="D27" s="85" t="s">
        <v>96</v>
      </c>
      <c r="E27" s="86" t="s">
        <v>136</v>
      </c>
      <c r="F27" s="87">
        <v>2</v>
      </c>
      <c r="G27" s="87"/>
      <c r="H27" s="87"/>
      <c r="I27" s="87">
        <v>2</v>
      </c>
      <c r="J27" s="92"/>
      <c r="K27" s="97" t="s">
        <v>49</v>
      </c>
      <c r="L27" s="93" t="s">
        <v>126</v>
      </c>
      <c r="M27" s="93" t="s">
        <v>127</v>
      </c>
      <c r="N27" s="98">
        <v>0.3</v>
      </c>
      <c r="O27" s="94">
        <v>8</v>
      </c>
      <c r="P27" s="121" t="s">
        <v>165</v>
      </c>
    </row>
    <row r="28" spans="1:16" ht="240" customHeight="1" x14ac:dyDescent="0.25">
      <c r="A28" s="220" t="s">
        <v>175</v>
      </c>
      <c r="B28" s="219"/>
      <c r="C28" s="74">
        <v>12</v>
      </c>
      <c r="D28" s="68" t="s">
        <v>138</v>
      </c>
      <c r="E28" s="88" t="s">
        <v>114</v>
      </c>
      <c r="F28" s="123">
        <v>2</v>
      </c>
      <c r="G28" s="123"/>
      <c r="H28" s="123"/>
      <c r="I28" s="123">
        <v>0</v>
      </c>
      <c r="J28" s="122" t="s">
        <v>163</v>
      </c>
      <c r="K28" s="30"/>
      <c r="L28" s="40"/>
      <c r="M28" s="14"/>
      <c r="N28" s="32">
        <v>0</v>
      </c>
      <c r="O28" s="30">
        <v>4</v>
      </c>
      <c r="P28" s="68" t="s">
        <v>131</v>
      </c>
    </row>
    <row r="29" spans="1:16" ht="331.5" customHeight="1" x14ac:dyDescent="0.25">
      <c r="A29" s="220"/>
      <c r="B29" s="219"/>
      <c r="C29" s="25">
        <v>13</v>
      </c>
      <c r="D29" s="69" t="s">
        <v>123</v>
      </c>
      <c r="E29" s="63" t="s">
        <v>115</v>
      </c>
      <c r="F29" s="126">
        <v>4</v>
      </c>
      <c r="G29" s="126"/>
      <c r="H29" s="126"/>
      <c r="I29" s="126">
        <v>2</v>
      </c>
      <c r="J29" s="124" t="s">
        <v>163</v>
      </c>
      <c r="K29" s="51" t="s">
        <v>48</v>
      </c>
      <c r="L29" s="99" t="s">
        <v>142</v>
      </c>
      <c r="M29" s="99" t="s">
        <v>134</v>
      </c>
      <c r="N29" s="31">
        <v>0</v>
      </c>
      <c r="O29" s="29">
        <v>4</v>
      </c>
      <c r="P29" s="69" t="s">
        <v>168</v>
      </c>
    </row>
    <row r="30" spans="1:16" ht="241.5" customHeight="1" x14ac:dyDescent="0.25">
      <c r="A30" s="220"/>
      <c r="B30" s="219"/>
      <c r="C30" s="74">
        <v>14</v>
      </c>
      <c r="D30" s="70" t="s">
        <v>139</v>
      </c>
      <c r="E30" s="65" t="s">
        <v>178</v>
      </c>
      <c r="F30" s="123">
        <v>4</v>
      </c>
      <c r="G30" s="100"/>
      <c r="H30" s="100"/>
      <c r="I30" s="123">
        <v>2</v>
      </c>
      <c r="J30" s="49"/>
      <c r="K30" s="49"/>
      <c r="L30" s="49"/>
      <c r="M30" s="49"/>
      <c r="N30" s="49"/>
      <c r="O30" s="30">
        <v>10</v>
      </c>
      <c r="P30" s="125" t="s">
        <v>169</v>
      </c>
    </row>
    <row r="31" spans="1:16" ht="258.75" customHeight="1" x14ac:dyDescent="0.25">
      <c r="A31" s="220"/>
      <c r="B31" s="219"/>
      <c r="C31" s="39">
        <v>15</v>
      </c>
      <c r="D31" s="71" t="s">
        <v>118</v>
      </c>
      <c r="E31" s="66" t="s">
        <v>117</v>
      </c>
      <c r="F31" s="127">
        <v>4</v>
      </c>
      <c r="G31" s="36"/>
      <c r="H31" s="36"/>
      <c r="I31" s="127">
        <v>2</v>
      </c>
      <c r="J31" s="41"/>
      <c r="K31" s="54" t="s">
        <v>48</v>
      </c>
      <c r="L31" s="137" t="s">
        <v>142</v>
      </c>
      <c r="M31" s="138" t="s">
        <v>134</v>
      </c>
      <c r="N31" s="50">
        <v>0</v>
      </c>
      <c r="O31" s="38">
        <v>4</v>
      </c>
      <c r="P31" s="141" t="s">
        <v>168</v>
      </c>
    </row>
    <row r="32" spans="1:16" ht="303" customHeight="1" x14ac:dyDescent="0.25">
      <c r="A32" s="220"/>
      <c r="B32" s="219"/>
      <c r="C32" s="77">
        <v>16</v>
      </c>
      <c r="D32" s="72" t="s">
        <v>119</v>
      </c>
      <c r="E32" s="67" t="s">
        <v>179</v>
      </c>
      <c r="F32" s="129">
        <v>4</v>
      </c>
      <c r="G32" s="131"/>
      <c r="H32" s="132"/>
      <c r="I32" s="133">
        <v>2</v>
      </c>
      <c r="J32" s="130"/>
      <c r="K32" s="101" t="s">
        <v>49</v>
      </c>
      <c r="L32" s="148" t="s">
        <v>176</v>
      </c>
      <c r="M32" s="148" t="s">
        <v>177</v>
      </c>
      <c r="N32" s="149">
        <v>0.35</v>
      </c>
      <c r="O32" s="28">
        <v>8</v>
      </c>
      <c r="P32" s="72" t="s">
        <v>171</v>
      </c>
    </row>
    <row r="33" spans="1:16" ht="150" customHeight="1" x14ac:dyDescent="0.25">
      <c r="A33" s="220"/>
      <c r="B33" s="219"/>
      <c r="C33" s="25">
        <v>17</v>
      </c>
      <c r="D33" s="69" t="s">
        <v>122</v>
      </c>
      <c r="E33" s="134" t="s">
        <v>143</v>
      </c>
      <c r="F33" s="127">
        <v>4</v>
      </c>
      <c r="G33" s="135"/>
      <c r="H33" s="99"/>
      <c r="I33" s="99">
        <v>2</v>
      </c>
      <c r="J33" s="37"/>
      <c r="K33" s="136" t="s">
        <v>49</v>
      </c>
      <c r="L33" s="99" t="s">
        <v>126</v>
      </c>
      <c r="M33" s="99" t="s">
        <v>127</v>
      </c>
      <c r="N33" s="53" t="s">
        <v>97</v>
      </c>
      <c r="O33" s="29">
        <v>4</v>
      </c>
      <c r="P33" s="69" t="s">
        <v>170</v>
      </c>
    </row>
    <row r="34" spans="1:16" ht="102" customHeight="1" x14ac:dyDescent="0.25">
      <c r="A34" s="220"/>
      <c r="B34" s="219"/>
      <c r="C34" s="26">
        <v>18</v>
      </c>
      <c r="D34" s="102" t="s">
        <v>120</v>
      </c>
      <c r="E34" s="102" t="s">
        <v>121</v>
      </c>
      <c r="F34" s="128">
        <v>4</v>
      </c>
      <c r="G34" s="91"/>
      <c r="H34" s="91"/>
      <c r="I34" s="91">
        <v>2</v>
      </c>
      <c r="J34" s="40"/>
      <c r="K34" s="101" t="s">
        <v>49</v>
      </c>
      <c r="L34" s="128" t="s">
        <v>126</v>
      </c>
      <c r="M34" s="128" t="s">
        <v>127</v>
      </c>
      <c r="N34" s="33">
        <v>0</v>
      </c>
      <c r="O34" s="30">
        <v>4</v>
      </c>
      <c r="P34" s="68" t="s">
        <v>131</v>
      </c>
    </row>
    <row r="35" spans="1:16" ht="35.25" customHeight="1" x14ac:dyDescent="0.25">
      <c r="E35" s="34" t="s">
        <v>50</v>
      </c>
      <c r="F35" s="15">
        <f>SUM(F4:F34)</f>
        <v>72</v>
      </c>
      <c r="G35" s="15"/>
      <c r="H35" s="15"/>
      <c r="I35" s="15">
        <f t="shared" ref="I35" si="0">SUM(I4:I34)</f>
        <v>36</v>
      </c>
      <c r="M35" s="15" t="s">
        <v>100</v>
      </c>
      <c r="N35" s="139">
        <f>SUM(N4:N34)</f>
        <v>0.99999999999999989</v>
      </c>
      <c r="O35" s="140">
        <f>SUM(O4:O34)</f>
        <v>96</v>
      </c>
      <c r="P35" s="15" t="s">
        <v>51</v>
      </c>
    </row>
  </sheetData>
  <sheetProtection formatCells="0" formatColumns="0" formatRows="0" insertColumns="0" insertRows="0" insertHyperlinks="0" deleteColumns="0" deleteRows="0" sort="0" autoFilter="0" pivotTables="0"/>
  <mergeCells count="112">
    <mergeCell ref="I24:I25"/>
    <mergeCell ref="C24:C25"/>
    <mergeCell ref="D24:D25"/>
    <mergeCell ref="E24:E25"/>
    <mergeCell ref="F24:F25"/>
    <mergeCell ref="G24:G25"/>
    <mergeCell ref="H24:H25"/>
    <mergeCell ref="P20:P21"/>
    <mergeCell ref="O24:O25"/>
    <mergeCell ref="N24:N25"/>
    <mergeCell ref="M24:M25"/>
    <mergeCell ref="J20:J22"/>
    <mergeCell ref="K20:K22"/>
    <mergeCell ref="L20:L22"/>
    <mergeCell ref="M20:M22"/>
    <mergeCell ref="N20:N22"/>
    <mergeCell ref="L24:L25"/>
    <mergeCell ref="K24:K25"/>
    <mergeCell ref="J24:J25"/>
    <mergeCell ref="M16:M17"/>
    <mergeCell ref="N16:N17"/>
    <mergeCell ref="O16:O17"/>
    <mergeCell ref="C21:C22"/>
    <mergeCell ref="D20:D22"/>
    <mergeCell ref="E20:E22"/>
    <mergeCell ref="F21:F22"/>
    <mergeCell ref="G21:G22"/>
    <mergeCell ref="H21:H22"/>
    <mergeCell ref="I21:I22"/>
    <mergeCell ref="H16:H17"/>
    <mergeCell ref="I16:I17"/>
    <mergeCell ref="J16:J17"/>
    <mergeCell ref="K16:K17"/>
    <mergeCell ref="L16:L17"/>
    <mergeCell ref="C16:C17"/>
    <mergeCell ref="D16:D17"/>
    <mergeCell ref="E16:E17"/>
    <mergeCell ref="F16:F17"/>
    <mergeCell ref="G16:G17"/>
    <mergeCell ref="O20:O22"/>
    <mergeCell ref="K14:K15"/>
    <mergeCell ref="L14:L15"/>
    <mergeCell ref="M14:M15"/>
    <mergeCell ref="N14:N15"/>
    <mergeCell ref="O14:O15"/>
    <mergeCell ref="C11:C13"/>
    <mergeCell ref="D11:D13"/>
    <mergeCell ref="E11:E13"/>
    <mergeCell ref="J14:J15"/>
    <mergeCell ref="C14:C15"/>
    <mergeCell ref="D14:D15"/>
    <mergeCell ref="E14:E15"/>
    <mergeCell ref="F14:F15"/>
    <mergeCell ref="G14:G15"/>
    <mergeCell ref="H14:H15"/>
    <mergeCell ref="I14:I15"/>
    <mergeCell ref="J11:J13"/>
    <mergeCell ref="I11:I13"/>
    <mergeCell ref="H11:H13"/>
    <mergeCell ref="G11:G13"/>
    <mergeCell ref="F11:F13"/>
    <mergeCell ref="O11:O13"/>
    <mergeCell ref="N11:N13"/>
    <mergeCell ref="M11:M13"/>
    <mergeCell ref="K9:K10"/>
    <mergeCell ref="L9:L10"/>
    <mergeCell ref="M9:M10"/>
    <mergeCell ref="N9:N10"/>
    <mergeCell ref="O9:O10"/>
    <mergeCell ref="F9:F10"/>
    <mergeCell ref="G9:G10"/>
    <mergeCell ref="H9:H10"/>
    <mergeCell ref="I9:I10"/>
    <mergeCell ref="J9:J10"/>
    <mergeCell ref="A1:P1"/>
    <mergeCell ref="E2:E3"/>
    <mergeCell ref="D2:D3"/>
    <mergeCell ref="C2:C3"/>
    <mergeCell ref="B2:B3"/>
    <mergeCell ref="A2:A3"/>
    <mergeCell ref="N2:N3"/>
    <mergeCell ref="O2:O3"/>
    <mergeCell ref="P2:P3"/>
    <mergeCell ref="J2:J3"/>
    <mergeCell ref="F2:I2"/>
    <mergeCell ref="K2:K3"/>
    <mergeCell ref="L2:L3"/>
    <mergeCell ref="M2:M3"/>
    <mergeCell ref="B28:B34"/>
    <mergeCell ref="A28:A34"/>
    <mergeCell ref="A4:A18"/>
    <mergeCell ref="B20:B26"/>
    <mergeCell ref="A20:A27"/>
    <mergeCell ref="B4:B19"/>
    <mergeCell ref="I4:I8"/>
    <mergeCell ref="J4:J8"/>
    <mergeCell ref="O4:O8"/>
    <mergeCell ref="N4:N8"/>
    <mergeCell ref="M4:M8"/>
    <mergeCell ref="K4:K8"/>
    <mergeCell ref="L4:L8"/>
    <mergeCell ref="E4:E8"/>
    <mergeCell ref="D4:D8"/>
    <mergeCell ref="C4:C8"/>
    <mergeCell ref="C9:C10"/>
    <mergeCell ref="D9:D10"/>
    <mergeCell ref="E9:E10"/>
    <mergeCell ref="F4:F8"/>
    <mergeCell ref="G4:G8"/>
    <mergeCell ref="H4:H8"/>
    <mergeCell ref="L11:L13"/>
    <mergeCell ref="K11:K13"/>
  </mergeCells>
  <phoneticPr fontId="22" type="noConversion"/>
  <hyperlinks>
    <hyperlink ref="P5" r:id="rId1" xr:uid="{42155119-9DF9-4241-8F00-7E932291C5DB}"/>
    <hyperlink ref="P6" r:id="rId2" xr:uid="{5EB8E046-FD1A-411E-A0AC-DAB0611989CF}"/>
    <hyperlink ref="P7" r:id="rId3" xr:uid="{B765322E-78D3-438F-B5F7-308C81795703}"/>
    <hyperlink ref="P8" r:id="rId4" xr:uid="{2BAA8ABD-312B-4059-997D-B8877733EB90}"/>
    <hyperlink ref="P10" r:id="rId5" xr:uid="{BF89C499-B14A-45B0-8EA4-98EF3BB34478}"/>
    <hyperlink ref="P12" r:id="rId6" xr:uid="{C63840F3-83F4-41DE-B44F-CBA2EE479864}"/>
    <hyperlink ref="P13" r:id="rId7" xr:uid="{528F2CB0-6247-4B6D-A079-0AE28FF44BE4}"/>
    <hyperlink ref="P15" r:id="rId8" xr:uid="{10F87D04-ECB2-41FA-9D89-700C91489742}"/>
    <hyperlink ref="P17" r:id="rId9" xr:uid="{AC4B4773-9E63-4BF1-9B3A-FE4DBCEDBBE9}"/>
    <hyperlink ref="P22" r:id="rId10" display="https://nam02.safelinks.protection.outlook.com/?url=https%3A%2F%2Falumnossantotomas-my.sharepoint.com%2F%3Av%3A%2Fg%2Fpersonal%2Fbraulio_briones_alumnos_santotomas_cl%2FEfqkD1qLGJJAu5kicLxtjUEBs7hQIJ6rKzzZD_zYq9m19g%3Fe%3DegW1Ow&amp;data=05%7C01%7Camolinaru%40santotomas.cl%7Cb829320c0e4b41e6032c08da3a6138a2%7C3bb118c0bb1e441887e5d176550897cb%7C0%7C0%7C637886486488768824%7CUnknown%7CTWFpbGZsb3d8eyJWIjoiMC4wLjAwMDAiLCJQIjoiV2luMzIiLCJBTiI6Ik1haWwiLCJXVCI6Mn0%3D%7C3000%7C%7C%7C&amp;sdata=oLpnXyT7Y4SLQiV2RM42xmpyIYNAH5ItyPpVvZgSC%2FE%3D&amp;reserved=0" xr:uid="{3482A3CF-39F5-4EC9-B269-F66FC35726C9}"/>
    <hyperlink ref="P25" r:id="rId11" xr:uid="{1079DDD6-081C-4D6C-853F-880F5AD13FA4}"/>
  </hyperlinks>
  <pageMargins left="0.7" right="0.7" top="0.75" bottom="0.75" header="0.3" footer="0.3"/>
  <pageSetup paperSize="9" orientation="portrait" r:id="rId12"/>
  <legacy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E380-BB5E-4044-BF22-5953E9140F07}">
  <sheetPr codeName="Hoja3"/>
  <dimension ref="A3:K11"/>
  <sheetViews>
    <sheetView workbookViewId="0">
      <selection activeCell="J3" sqref="J3:J6"/>
    </sheetView>
  </sheetViews>
  <sheetFormatPr baseColWidth="10" defaultColWidth="11.42578125" defaultRowHeight="15" x14ac:dyDescent="0.25"/>
  <sheetData>
    <row r="3" spans="1:11" x14ac:dyDescent="0.25">
      <c r="A3" s="2" t="s">
        <v>47</v>
      </c>
      <c r="B3" s="2" t="s">
        <v>52</v>
      </c>
      <c r="C3" s="2" t="s">
        <v>53</v>
      </c>
      <c r="E3" t="s">
        <v>54</v>
      </c>
      <c r="F3" t="s">
        <v>47</v>
      </c>
      <c r="G3" t="s">
        <v>55</v>
      </c>
      <c r="H3" t="s">
        <v>56</v>
      </c>
      <c r="I3" t="s">
        <v>57</v>
      </c>
      <c r="J3" s="2" t="s">
        <v>58</v>
      </c>
      <c r="K3" t="s">
        <v>55</v>
      </c>
    </row>
    <row r="4" spans="1:11" x14ac:dyDescent="0.25">
      <c r="A4" s="2" t="s">
        <v>48</v>
      </c>
      <c r="B4" s="2" t="s">
        <v>59</v>
      </c>
      <c r="C4" s="2" t="s">
        <v>60</v>
      </c>
      <c r="E4" t="s">
        <v>61</v>
      </c>
      <c r="F4" t="s">
        <v>48</v>
      </c>
      <c r="G4" t="s">
        <v>62</v>
      </c>
      <c r="H4" t="s">
        <v>63</v>
      </c>
      <c r="I4" t="s">
        <v>64</v>
      </c>
      <c r="J4" s="2" t="s">
        <v>65</v>
      </c>
      <c r="K4" t="s">
        <v>66</v>
      </c>
    </row>
    <row r="5" spans="1:11" x14ac:dyDescent="0.25">
      <c r="A5" s="2" t="s">
        <v>49</v>
      </c>
      <c r="B5" s="2" t="s">
        <v>67</v>
      </c>
      <c r="C5" s="2" t="s">
        <v>68</v>
      </c>
      <c r="E5" t="s">
        <v>69</v>
      </c>
      <c r="F5" t="s">
        <v>49</v>
      </c>
      <c r="H5" t="s">
        <v>70</v>
      </c>
      <c r="I5" t="s">
        <v>71</v>
      </c>
      <c r="J5" s="2" t="s">
        <v>72</v>
      </c>
      <c r="K5" t="s">
        <v>73</v>
      </c>
    </row>
    <row r="6" spans="1:11" x14ac:dyDescent="0.25">
      <c r="C6" s="2" t="s">
        <v>74</v>
      </c>
      <c r="E6" t="s">
        <v>64</v>
      </c>
      <c r="H6" t="s">
        <v>75</v>
      </c>
      <c r="J6" s="2" t="s">
        <v>76</v>
      </c>
    </row>
    <row r="7" spans="1:11" x14ac:dyDescent="0.25">
      <c r="C7" s="2" t="s">
        <v>77</v>
      </c>
      <c r="E7" t="s">
        <v>78</v>
      </c>
      <c r="H7" t="s">
        <v>79</v>
      </c>
    </row>
    <row r="8" spans="1:11" x14ac:dyDescent="0.25">
      <c r="C8" s="2" t="s">
        <v>80</v>
      </c>
      <c r="H8" t="s">
        <v>81</v>
      </c>
    </row>
    <row r="9" spans="1:11" x14ac:dyDescent="0.25">
      <c r="C9" s="2" t="s">
        <v>82</v>
      </c>
      <c r="H9" t="s">
        <v>62</v>
      </c>
    </row>
    <row r="10" spans="1:11" x14ac:dyDescent="0.25">
      <c r="C10" s="2" t="s">
        <v>83</v>
      </c>
    </row>
    <row r="11" spans="1:11" x14ac:dyDescent="0.25">
      <c r="C11" s="2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666726ED18494C8DB0D68A33FF9A4E" ma:contentTypeVersion="18" ma:contentTypeDescription="Crear nuevo documento." ma:contentTypeScope="" ma:versionID="2413154f849da70cc02ee136003d833a">
  <xsd:schema xmlns:xsd="http://www.w3.org/2001/XMLSchema" xmlns:xs="http://www.w3.org/2001/XMLSchema" xmlns:p="http://schemas.microsoft.com/office/2006/metadata/properties" xmlns:ns2="9625b5ae-0e5b-423a-bcbc-d8f31855df4f" xmlns:ns3="fd1cea59-ad1d-42b0-a63e-3e16e543f0e8" targetNamespace="http://schemas.microsoft.com/office/2006/metadata/properties" ma:root="true" ma:fieldsID="5d70bf3b984130c467e7f0bd60b84233" ns2:_="" ns3:_="">
    <xsd:import namespace="9625b5ae-0e5b-423a-bcbc-d8f31855df4f"/>
    <xsd:import namespace="fd1cea59-ad1d-42b0-a63e-3e16e543f0e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25b5ae-0e5b-423a-bcbc-d8f31855df4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2d90914-3309-4211-ab0a-56046355403c}" ma:internalName="TaxCatchAll" ma:showField="CatchAllData" ma:web="9625b5ae-0e5b-423a-bcbc-d8f31855df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cea59-ad1d-42b0-a63e-3e16e543f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d292b6f-38d8-410b-90f7-a8801c4c45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1cea59-ad1d-42b0-a63e-3e16e543f0e8">
      <Terms xmlns="http://schemas.microsoft.com/office/infopath/2007/PartnerControls"/>
    </lcf76f155ced4ddcb4097134ff3c332f>
    <TaxCatchAll xmlns="9625b5ae-0e5b-423a-bcbc-d8f31855df4f" xsi:nil="true"/>
  </documentManagement>
</p:properties>
</file>

<file path=customXml/itemProps1.xml><?xml version="1.0" encoding="utf-8"?>
<ds:datastoreItem xmlns:ds="http://schemas.openxmlformats.org/officeDocument/2006/customXml" ds:itemID="{EF6A3CFF-35AB-4315-A931-6DCD139C46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25b5ae-0e5b-423a-bcbc-d8f31855df4f"/>
    <ds:schemaRef ds:uri="fd1cea59-ad1d-42b0-a63e-3e16e543f0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5A35C4-410A-46DE-81B7-59CC64C96F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C17CEC-4771-486D-B1EC-BCFC4DD24B67}">
  <ds:schemaRefs>
    <ds:schemaRef ds:uri="http://schemas.microsoft.com/office/2006/metadata/properties"/>
    <ds:schemaRef ds:uri="http://schemas.microsoft.com/office/infopath/2007/PartnerControls"/>
    <ds:schemaRef ds:uri="d7d28447-96b9-48d2-8314-4b0ebc5ff65d"/>
    <ds:schemaRef ds:uri="acfa8cf9-bf28-4cc2-bfaf-342e9e84b755"/>
    <ds:schemaRef ds:uri="fd1cea59-ad1d-42b0-a63e-3e16e543f0e8"/>
    <ds:schemaRef ds:uri="9625b5ae-0e5b-423a-bcbc-d8f31855df4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Antecedentes Asignatura</vt:lpstr>
      <vt:lpstr>Planificación por unidades 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MVASQUEZC</dc:creator>
  <cp:keywords/>
  <dc:description/>
  <cp:lastModifiedBy>Luis Tulio González Alcaino</cp:lastModifiedBy>
  <cp:revision/>
  <dcterms:created xsi:type="dcterms:W3CDTF">2022-12-16T18:42:17Z</dcterms:created>
  <dcterms:modified xsi:type="dcterms:W3CDTF">2026-03-01T20:25:12Z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0x01010080666726ED18494C8DB0D68A33FF9A4E</vt:lpwstr>
  </property>
  <property fmtid="{D5CDD505-2E9C-101B-9397-08002B2CF9AE}" pid="3" name="MediaServiceImageTags">
    <vt:lpwstr/>
  </property>
</Properties>
</file>