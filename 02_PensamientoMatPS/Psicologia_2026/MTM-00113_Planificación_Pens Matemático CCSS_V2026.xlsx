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Psicologia_2026\"/>
    </mc:Choice>
  </mc:AlternateContent>
  <xr:revisionPtr revIDLastSave="0" documentId="8_{B08075EB-AB36-44C0-B2F5-1F3BFC59D980}" xr6:coauthVersionLast="47" xr6:coauthVersionMax="47" xr10:uidLastSave="{00000000-0000-0000-0000-000000000000}"/>
  <bookViews>
    <workbookView xWindow="-120" yWindow="-120" windowWidth="20730" windowHeight="11160" activeTab="1" xr2:uid="{D2C5DD77-2C84-4B0F-BA0F-D54AA51E3CD1}"/>
  </bookViews>
  <sheets>
    <sheet name="Antecedentes Asignatura" sheetId="1" r:id="rId1"/>
    <sheet name="Planificación por unidades " sheetId="6" r:id="rId2"/>
    <sheet name="Hoja2" sheetId="2" state="hidden" r:id="rId3"/>
  </sheets>
  <definedNames>
    <definedName name="_xlnm._FilterDatabase" localSheetId="1" hidden="1">'Planificación por unidades '!$B$1:$P$1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5" i="6" l="1"/>
  <c r="N29" i="6"/>
  <c r="I38" i="6"/>
  <c r="F38" i="6"/>
  <c r="O38" i="6"/>
  <c r="L26" i="1" l="1"/>
</calcChain>
</file>

<file path=xl/sharedStrings.xml><?xml version="1.0" encoding="utf-8"?>
<sst xmlns="http://schemas.openxmlformats.org/spreadsheetml/2006/main" count="251" uniqueCount="185">
  <si>
    <t>PLANIFICACIÓN DIDÁCTICA</t>
  </si>
  <si>
    <t xml:space="preserve">I. Antecedentes de la Asignatura </t>
  </si>
  <si>
    <t>Escuela/Unidad</t>
  </si>
  <si>
    <t xml:space="preserve">Programa </t>
  </si>
  <si>
    <t>Nombre de la asignatura</t>
  </si>
  <si>
    <t>Regimen/
Modalidad</t>
  </si>
  <si>
    <t>Diurno/
Presencial</t>
  </si>
  <si>
    <t>Plan</t>
  </si>
  <si>
    <t>Código</t>
  </si>
  <si>
    <t>Versión Año</t>
  </si>
  <si>
    <t>Distribución de Horas</t>
  </si>
  <si>
    <t>Créditos Académicos</t>
  </si>
  <si>
    <t>Horas Cronológicas</t>
  </si>
  <si>
    <t>Horas lectivas pedagógicas</t>
  </si>
  <si>
    <t>Horas Totales Pedagógicas</t>
  </si>
  <si>
    <t>Horas
Totales</t>
  </si>
  <si>
    <t>TPE</t>
  </si>
  <si>
    <t>Hrs. 
Lectivas</t>
  </si>
  <si>
    <t>Cátedra</t>
  </si>
  <si>
    <t>Laboratorio
/Taller</t>
  </si>
  <si>
    <t>Terreno</t>
  </si>
  <si>
    <t>Ayudantía</t>
  </si>
  <si>
    <t>Carácter</t>
  </si>
  <si>
    <t>Pre-Requisitos</t>
  </si>
  <si>
    <t>Obligatoria</t>
  </si>
  <si>
    <t xml:space="preserve">II. Contribución al Perfil de Egreso </t>
  </si>
  <si>
    <t>Competencia(s) Específicas y Genéricas a las cuales tributa la asignatura</t>
  </si>
  <si>
    <t>III. Unidades de Aprendizaje</t>
  </si>
  <si>
    <t xml:space="preserve">N° Unidad </t>
  </si>
  <si>
    <t>Resultados de Aprendizaje</t>
  </si>
  <si>
    <t xml:space="preserve">Nombre de la unidad </t>
  </si>
  <si>
    <t>Horas pedagógicas</t>
  </si>
  <si>
    <t>TOTAL</t>
  </si>
  <si>
    <t xml:space="preserve">PLANIFICACIÓN DIDÁCTICA </t>
  </si>
  <si>
    <t xml:space="preserve">Unidad o módulo </t>
  </si>
  <si>
    <t>Resultados de aprendizaje</t>
  </si>
  <si>
    <t>Semana</t>
  </si>
  <si>
    <t>Contenidos</t>
  </si>
  <si>
    <t>Experiencia de Aprendizaje</t>
  </si>
  <si>
    <t>Distribución de horas</t>
  </si>
  <si>
    <t>Recursos de Aprendizaje</t>
  </si>
  <si>
    <t>Tipo de Evaluación</t>
  </si>
  <si>
    <t>Procedimiento de evaluación</t>
  </si>
  <si>
    <t>Instrumento de evaluación</t>
  </si>
  <si>
    <t>% de evaluación</t>
  </si>
  <si>
    <t>Hrs. TPE</t>
  </si>
  <si>
    <t>Actividades TPE</t>
  </si>
  <si>
    <t>Diagnóstica</t>
  </si>
  <si>
    <t>Formativa</t>
  </si>
  <si>
    <t>Sumativa</t>
  </si>
  <si>
    <t>Total Horas Lectivas Programadas</t>
  </si>
  <si>
    <t>Total Horas Cronológicas TPE</t>
  </si>
  <si>
    <t>Producto</t>
  </si>
  <si>
    <t xml:space="preserve">Aprendizaje Basado en Problemas </t>
  </si>
  <si>
    <t xml:space="preserve">TIC </t>
  </si>
  <si>
    <t>Teams</t>
  </si>
  <si>
    <t>Foro</t>
  </si>
  <si>
    <t>Presentación</t>
  </si>
  <si>
    <t xml:space="preserve">Evaluación Diagnóstica </t>
  </si>
  <si>
    <t>Desempeño</t>
  </si>
  <si>
    <t xml:space="preserve">Aprendizaje Basado en Caso </t>
  </si>
  <si>
    <t>Material Descargable</t>
  </si>
  <si>
    <t>Otro</t>
  </si>
  <si>
    <t>Recurso interactivo (H5P)</t>
  </si>
  <si>
    <t>Simulación</t>
  </si>
  <si>
    <t xml:space="preserve">Evaluación Formativa </t>
  </si>
  <si>
    <t>Software de Simulación</t>
  </si>
  <si>
    <t>Conocimiento</t>
  </si>
  <si>
    <t xml:space="preserve">Aprendizaje Basado en Proyecto </t>
  </si>
  <si>
    <t>Audiovisuales</t>
  </si>
  <si>
    <t>Wiki</t>
  </si>
  <si>
    <t>Recursos multimediales</t>
  </si>
  <si>
    <t xml:space="preserve">Evaluación Sumativa </t>
  </si>
  <si>
    <t>otro</t>
  </si>
  <si>
    <t xml:space="preserve">Aprendizaje basado en juegos </t>
  </si>
  <si>
    <t>Chat</t>
  </si>
  <si>
    <t>No aplica</t>
  </si>
  <si>
    <t xml:space="preserve">Aprendizaje basado en simulación con softwares </t>
  </si>
  <si>
    <t xml:space="preserve">Otros </t>
  </si>
  <si>
    <t>Cuestionario</t>
  </si>
  <si>
    <t xml:space="preserve">Aprendizaje basado en simulación (con role playing, personas, etc.…) </t>
  </si>
  <si>
    <t>Lección</t>
  </si>
  <si>
    <t xml:space="preserve">Resolución de problemas ricos en contexto con aprendizaje colaborativo </t>
  </si>
  <si>
    <t>Discusión Socializada</t>
  </si>
  <si>
    <t xml:space="preserve"> </t>
  </si>
  <si>
    <t>LÓGICA PROPOSICIONAL Y OPERACIONES CON CONJUNTOS</t>
  </si>
  <si>
    <t>Preguntas de aplicación y Pauta de corrección</t>
  </si>
  <si>
    <t>Evaluación de aplicación directa de contenidos conceptuales y procedimentales mediante desafíos grupales o individuales, desarrollados en sala de clases u horas TPE. Con retroalimentación oportuna en sesión presencial.</t>
  </si>
  <si>
    <t>Preguntas de aplicación en situaciones contextualizadas y Pauta de corrección</t>
  </si>
  <si>
    <t xml:space="preserve">Números racionales Parte I: INGRESE AQUÍ </t>
  </si>
  <si>
    <t xml:space="preserve">Números racionales Parte II: INGRESE AQUÍ </t>
  </si>
  <si>
    <t xml:space="preserve">Potencias: INGRESE AQUÍ </t>
  </si>
  <si>
    <t xml:space="preserve">Expresiones algebraica I: INGRESE AQUÍ </t>
  </si>
  <si>
    <t xml:space="preserve">Expresiones algebraica II: INGRESE AQUÍ </t>
  </si>
  <si>
    <t xml:space="preserve">Productos notables: INGRESE AQUÍ </t>
  </si>
  <si>
    <t xml:space="preserve">Razones, proporciones y porcentaje: INGRESE AQUÍ </t>
  </si>
  <si>
    <t xml:space="preserve">Relaciones y funciones: INGRESE AQUÍ </t>
  </si>
  <si>
    <t xml:space="preserve">Función lineal: INGRESE AQUÍ </t>
  </si>
  <si>
    <t>Facultad de Ciencias. Departamento de Ciencias Básicas</t>
  </si>
  <si>
    <t>Ingreso</t>
  </si>
  <si>
    <t>EXAMEN FINAL ASIGNATURA</t>
  </si>
  <si>
    <t>- Busca bibliografía en biblioteca, de manera virtual o presencial. 
- Ejercita las actividades desarrolladas en clase. 
- Indaga para profundizar en las actividades desarrolladas en clase.</t>
  </si>
  <si>
    <t xml:space="preserve">- Examen y retroalimentación. </t>
  </si>
  <si>
    <t>- Desafíos y situaciones contextualizadas.</t>
  </si>
  <si>
    <t>- Ejercita las actividades desarrolladas en clase. 
- Indaga para profundizar en las actividades desarrolladas en clase.</t>
  </si>
  <si>
    <t>- Ejercita las actividades desarrolladas en clase.
- Indaga para profundizar en las actividades desarrolladas en clase.
- Refuerza los contenidos de la Unidad I.</t>
  </si>
  <si>
    <t>- Desafíos y situaciones contextualizadas</t>
  </si>
  <si>
    <t>- Material audiovisual educativo Estudia Conmigo.
- Desafíos y situaciones contextualizadas.</t>
  </si>
  <si>
    <t xml:space="preserve">30% de nota final de la asignatura </t>
  </si>
  <si>
    <t>- Ejercita las actividades desarrolladas durante el semestre en clase.</t>
  </si>
  <si>
    <t>I</t>
  </si>
  <si>
    <t>II</t>
  </si>
  <si>
    <t>III</t>
  </si>
  <si>
    <t>Evaluación de aplicación de contenidos conceptuales y procedimentales, de forma individual o grupal de situaciones contextualizadas al área profesional. Retroalimentación oportuna.</t>
  </si>
  <si>
    <t>- Ejercita las actividades desarrolladas en clase.
- Indaga para profundizar en las actividades desarrolladas en clase.
- Revisa videos de apoyo Estudia Conmigo:</t>
  </si>
  <si>
    <t>- Ejercita las actividades desarrolladas en clase.
- Indaga para profundizar en las actividades desarrolladas en clase.</t>
  </si>
  <si>
    <t>Presentación: INGRESE AQUÍ</t>
  </si>
  <si>
    <t>Prueba de alternativas y pauta de corrección</t>
  </si>
  <si>
    <t xml:space="preserve">- Reconoce los conectivos lógicos a través de enunciados gramaticales.
- Utiliza los axiomas de los conectivos lógicos.                      
- Emplea esquemas lógicos determinando el carácter de la proposición: tautología, contradicción o contingencia.                                                           
- Integra patrones y relaciones matemáticas en las actividades realizadas. 
- Detecta patrones, relaciones e inconsistencias en las actividades realizadas.   </t>
  </si>
  <si>
    <t>Preguntas de aplicación en situaciones contextualizadas con evidencia como portafolio, exposición de video u otros formatos. Pauta o rúbrica de corrección.</t>
  </si>
  <si>
    <t>- Aplica operatoria con números enteros y racionales.
- Integra patrones y relaciones matemáticas en las actividades realizadas.
- Detecta patrones, relaciones e inconsistencias en las actividades realizadas.</t>
  </si>
  <si>
    <r>
      <t xml:space="preserve">El/la estudiante: 
- De manera grupal, en reflexión guiada por el/la docente, identifica la operatoria entre números enteros y racionales a través de la resolución de situaciones contextualizadas.
- A partir de discusión y reflexión guiada por el/la docente, integra patrones y relaciones matemáticas en la operatoria entre los números enteros y racionales.
- Organizado en equipos, aplica operatoria con números enteros y racionales a través de la resolución de situaciones contextualizadas y/o desafíos.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</si>
  <si>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r>
      <t xml:space="preserve">El/la estudiante:
- En forma grupal, busca enunciados gramaticales en biblioteca o de manera virtual, y reconoce en estos enunciados los conectivos lógicos.
- Utiliza los axiomas de los conectivos lógicos para generar enunciados gramaticales determinando su valor de verdad.
- En forma grupal, emplea esquemas lógicos en enunciados gramaticales seleccionados, construye tabla de verdad, y en base a ella, determina el carácter de la proposición: tautología, contradicción o contingencia.
- En forma grupal, dado un esquema lógico, integra patrones y relaciones matemáticas en el comportamiento de los conectivos y axiomas encontrados en situaciones contextualizadas.
- Revisa las instrucciones para la evaluación 1 entregadas por el/la docente y consulta sus dudas.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</si>
  <si>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Evaluación de aplicación de contenidos conceptuales y procedimentales en situaciones contextualizadas, de forma individual o grupal. Con retroalimentación oportuna en sesión presencial.</t>
  </si>
  <si>
    <r>
      <t xml:space="preserve">El/la estudiante:
- A partir de la revisión grupal de situaciones seleccionadas, reconoce los distintos tipos de ecuaciones de primer grado que pueden usarse para dar solución a problemas contextualizados.
- En actividad grupal con desafíos y situaciones contextualizadas entregadas por el/la docente, aplica la ecuación de primer grado a distintos contextos.
- En forma grupal, integra patrones y relaciones matemáticas utilizadas para resolver ecuaciones de primer grado en distintos contextos.
</t>
    </r>
    <r>
      <rPr>
        <b/>
        <sz val="10"/>
        <color theme="1"/>
        <rFont val="Calibri"/>
        <family val="2"/>
        <scheme val="minor"/>
      </rPr>
      <t>En ayudantía</t>
    </r>
    <r>
      <rPr>
        <sz val="10"/>
        <color theme="1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</si>
  <si>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- El/la estudiante rinde examen.                                                                                               
- El/la estudiante revisa su desempeño en el examen en instancia de retroalimentación.</t>
  </si>
  <si>
    <t>- Identifica proposiciones lógicas con su valor de verdad.
- Identifica las proposiciones de un enunciado verbal a través de lenguaje de símbolos.
- Utiliza proposiciones simples o compuestas en enunciados verbales.
- Integra patrones y relaciones matemáticas en las actividades realizadas.
- Detecta patrones, relaciones e inconsistencias en las actividades realizadas.</t>
  </si>
  <si>
    <t>- Reconoce los elementos básicos de conjunto: por comprensión, extensión, pertenencia, cardinalidad, conjunto vacío, conjunto universo, igualdad entre conjuntos y subconjuntos.
- Aplica las operaciones de conjuntos de: unión, intersección, complemento y diferencia.
- Integra patrones y relaciones matemáticas en las actividades realizadas. 
- Detecta patrones, relaciones e inconsistencias en las actividades realizadas.</t>
  </si>
  <si>
    <t>- Emplea diagramas de Venn-Euler en operaciones con conjuntos de unión, intersección, complemento y diferencia.
- Integra patrones y relaciones matemáticas en las actividades realizadas. 
- Detecta patrones, relaciones e inconsistencias en las actividades realizadas.</t>
  </si>
  <si>
    <t xml:space="preserve">
I
LÓGICA PROPOSICIONAL Y OPERACIONES CON CONJUNTOS
 </t>
  </si>
  <si>
    <t>Pensamiento Matemático para Ciencias Sociales</t>
  </si>
  <si>
    <t>MTM-00113</t>
  </si>
  <si>
    <t>FUNCIONES BÁSICAS APLICADAS A LAS CIENCIAS SOCIALES</t>
  </si>
  <si>
    <t>Educación Diferencial - Pedagogía en Educación Física - Psicología - Trabajo Social</t>
  </si>
  <si>
    <t>CG: Desarrollar juicios rigurosos, examinando la calidad y fiabilidad de la información utilizada, e identificando posibles suposiciones, sesgos y limitaciones para posteriormente tomar decisiones informadas.</t>
  </si>
  <si>
    <r>
      <t xml:space="preserve">Psicología: </t>
    </r>
    <r>
      <rPr>
        <sz val="9"/>
        <color theme="1"/>
        <rFont val="Calibri"/>
        <family val="2"/>
        <scheme val="minor"/>
      </rPr>
      <t>Aplicar los principios de la ciencia en procesos investigativos de manera rigurosa y sistemática distinguiendo niveles de evidencia para la contribución al conocimiento científico y al desempeño profesional ético.</t>
    </r>
    <r>
      <rPr>
        <b/>
        <sz val="9"/>
        <color theme="1"/>
        <rFont val="Calibri"/>
        <family val="2"/>
        <scheme val="minor"/>
      </rPr>
      <t xml:space="preserve"> </t>
    </r>
  </si>
  <si>
    <r>
      <rPr>
        <b/>
        <sz val="9"/>
        <color theme="1"/>
        <rFont val="Calibri"/>
        <family val="2"/>
        <scheme val="minor"/>
      </rPr>
      <t>Trabajo Social:</t>
    </r>
    <r>
      <rPr>
        <sz val="9"/>
        <color theme="1"/>
        <rFont val="Calibri"/>
        <family val="2"/>
        <scheme val="minor"/>
      </rPr>
      <t xml:space="preserve"> Desarrollar procesos de intervención social con pertinencia epistemológica, teórica, metodológica y ética disciplinar, proponiendo soluciones integrales que apunten a mejorar las condiciones de vida de las personas, colectivos y procesos socioculturales, reconociendo sus contextos sociales, posibilidades de agenciamiento y autodeterminación.</t>
    </r>
  </si>
  <si>
    <t>Utilizar el razonamiento de lógica proposicional y la operatoria entre conjuntos para la resolución de problemas matemáticos contextualizados a las áreas de las ciencias sociales y pedagogías, evidenciando capacidad de análisis y síntesis en la toma de decisiones.</t>
  </si>
  <si>
    <t>Aplicar procedimientos básicos de cálculo aritmético y álgebra en distintos sistemas numéricos, potencia, multiplicación de polinomios, ecuaciones de primer y segundo grado, razones, proporciones y porcentajes, para la resolución de problemas matemáticos contextualizados a las áreas de las ciencias sociales y pedagogías, evidenciando capacidad de análisis y síntesis en la toma de decisiones.</t>
  </si>
  <si>
    <t>Aplicar los elementos fundamentales de la función lineal y su interpretación gráfica, para la resolución de problemas matemáticos contextualizados a las áreas de las ciencias sociales y pedagogías, evidenciando capacidad de análisis y síntesis en la toma de decisiones.</t>
  </si>
  <si>
    <t>- Todos los contenidos de la Unidad I</t>
  </si>
  <si>
    <t>III
FUNCIONES BÁSICAS APLICADAS A LAS CIENCIAS SOCIALES</t>
  </si>
  <si>
    <t>II
OPERATORIA MATEMÁTICA BÁSICA APLICADA A LAS CIENCIAS SOCIALES</t>
  </si>
  <si>
    <t>- Reconoce el concepto de potencia y sus propiedades.
- Reconoce los elementos básicos del álgebra en los reales: término y expresión algebraica, término semejante.
- Integra patrones y relaciones matemáticas en las actividades realizadas.
- Detecta patrones, relaciones e inconsistencias en las actividades realizadas.</t>
  </si>
  <si>
    <t xml:space="preserve">- Reconoce ecuaciones de primer grado: enteras y fraccionarias.
- Aplica la ecuación de primer grado en distintos contextos.
- Detecta patrones, relaciones e inconsistencias en las actividades realizadas.
- Integra patrones y relaciones matemáticas en las actividades realizadas.              </t>
  </si>
  <si>
    <t xml:space="preserve">- Aplica operaciones de adición, sustracción y multiplicación de expresiones algebraicas.
- Utiliza productos notables: cuadrado de binomio, producto de suma por su diferencia y multiplicación de binomios con un término común.
- Detecta patrones, relaciones e inconsistencias en las actividades realizadas.
- Integra patrones y relaciones matemáticas en las actividades realizadas.                            </t>
  </si>
  <si>
    <t xml:space="preserve">- Evaluación de los contenidos de la unidad II.  </t>
  </si>
  <si>
    <r>
      <t xml:space="preserve">El/la estudiante:
- Aplica operatoria con expresiones algebraicas en la resolución de situaciones contextualizadas y/o desafíos, llegando a los productos notables.
- A partir de discusión y reflexión guiada por el/la docente, revisa distintas situaciones e integra patrones y relaciones matemáticas en la multiplicación de expresiones algebraicas.
- Utiliza los productos notables para la resolución de situaciones contextualizadas y/o desafíos en equipos.
- En forma grupal, revisa distintas situaciones e integra patrones y relaciones matemáticas en productos notables de expresiones algebraicas.
</t>
    </r>
    <r>
      <rPr>
        <b/>
        <sz val="10"/>
        <color rgb="FF000000"/>
        <rFont val="Calibri"/>
        <family val="2"/>
        <scheme val="minor"/>
      </rPr>
      <t>En ayudantía</t>
    </r>
    <r>
      <rPr>
        <sz val="10"/>
        <color rgb="FF00000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</si>
  <si>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El/la estudiante:
- Rinde Evaluación Sumativa 2 (Parte 2).
- Revisa su desempeño en la Evaluación 2, durante sesión presencial de retroalimentación (sesión de retroalimentación).</t>
  </si>
  <si>
    <t>- Reconoce los elementos básicos del plano cartesiano: par ordenado, ejes coordenados y cuadrantes.
- Identifica una relación a través de su representación gráfica: sistema sagital o flechas y plano cartesiano.
- Reconoce los elementos básicos de una función lineal: dominio, recorrido, gráfica.
- Detecta patrones, relaciones e inconsistencias en las actividades realizadas.
- Integra patrones y relaciones matemáticas en las actividades realizadas.</t>
  </si>
  <si>
    <r>
      <t xml:space="preserve">El/la estudiante:
- A partir de discusión y reflexión guiada por el/la docente, con la gráfica de una situación contextualizada, reconoce los elementos básicos del plano cartesiano: par ordenado, ejes coordenados y cuadrantes.
- En distintas gráficas presentadas en sistema sagital o plano cartesiano, reconoce distintas tipos de relaciones.
- En actividad grupal con representaciones gráficas entregadas por el/la docente, identifica dominio, recorrido y gráfica de funciones lineales.
- De manera grupal revisa casos e integra patrones y relaciones matemáticas en distintas gráficas matemáticas de distintas relaciones.
</t>
    </r>
    <r>
      <rPr>
        <b/>
        <sz val="10"/>
        <rFont val="Calibri"/>
        <family val="2"/>
        <scheme val="minor"/>
      </rPr>
      <t>En ayudantía,</t>
    </r>
    <r>
      <rPr>
        <sz val="10"/>
        <rFont val="Calibri"/>
        <family val="2"/>
        <scheme val="minor"/>
      </rPr>
      <t xml:space="preserve">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</si>
  <si>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r>
      <rPr>
        <sz val="10"/>
        <rFont val="Calibri"/>
        <family val="2"/>
        <scheme val="minor"/>
      </rPr>
      <t>- Identifica rectas paralelas y perpendiculares a través de la pendiente.</t>
    </r>
    <r>
      <rPr>
        <sz val="10"/>
        <color rgb="FF000000"/>
        <rFont val="Calibri"/>
        <family val="2"/>
        <scheme val="minor"/>
      </rPr>
      <t xml:space="preserve">
- Aplica la ecuación de la recta a modelos lineales en distintos contextos.  
- Integra patrones y relaciones matemáticas en las actividades realizadas.
- Detecta patrones, relaciones e inconsistencias en las actividades realizadas.</t>
    </r>
  </si>
  <si>
    <r>
      <t xml:space="preserve">El/la estudiante:
- De manera grupal integra patrones y relaciones matemáticas en distintas gráficas para establecer rectas paralelas y perpendiculares.
- Con apoyo de material virtual y compartido por el/la docente (video, diagramas, bibliografía), ve modelos lineales relacionados con distintas situaciones contextualizadas.
- En actividad grupal con desafíos y situaciones contextualizadas entregadas por el/la docente, aplica la ecuación de la recta en modelos lineales.
</t>
    </r>
    <r>
      <rPr>
        <b/>
        <sz val="10"/>
        <rFont val="Calibri"/>
        <family val="2"/>
        <scheme val="minor"/>
      </rPr>
      <t>- Entrega producto asociado a Evaluación Sumativa 3.
En ayudantía,</t>
    </r>
    <r>
      <rPr>
        <sz val="10"/>
        <rFont val="Calibri"/>
        <family val="2"/>
        <scheme val="minor"/>
      </rPr>
      <t xml:space="preserve">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</si>
  <si>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- Integración de contenidos de las Unidades I, II y III.</t>
  </si>
  <si>
    <r>
      <rPr>
        <sz val="10"/>
        <rFont val="Calibri"/>
        <family val="2"/>
        <scheme val="minor"/>
      </rPr>
      <t>El/la estudiante:
- Integra los contenidos de la asignatura mediante la ejercitación y resolución de situaciones contextualizadas a su área profesional</t>
    </r>
    <r>
      <rPr>
        <b/>
        <sz val="10"/>
        <rFont val="Calibri"/>
        <family val="2"/>
        <scheme val="minor"/>
      </rPr>
      <t>. 
- Revisa su desempeño en la Evaluación 3, durante sesión presencial de retroalimentación.
- Rinde Evaluación Recuperativa en caso de requerirlo.      
En ayudantía</t>
    </r>
    <r>
      <rPr>
        <sz val="10"/>
        <rFont val="Calibri"/>
        <family val="2"/>
        <scheme val="minor"/>
      </rPr>
      <t xml:space="preserve"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</t>
    </r>
    <r>
      <rPr>
        <b/>
        <sz val="10"/>
        <rFont val="Calibri"/>
        <family val="2"/>
        <scheme val="minor"/>
      </rPr>
      <t xml:space="preserve">                                                 </t>
    </r>
  </si>
  <si>
    <t>Prueba de alternativas, de tipo conocimiento, individual, aplicada online o impresa en sala de clases, al inicio de la asignatura, que considera aprendizajes previos de lógica proposicional y operaciones con conjuntos.</t>
  </si>
  <si>
    <r>
      <t xml:space="preserve">El/la estudiante:
- Reconoce los elementos básicos de conjunto con apoyo de material virtual y/o compartido por el/la docente (video, diagramas, bibliografía)  
- En actividad grupal, realiza una comparación señalando las características de las operaciones entre conjuntos (unión, intersección, complemento y diferencia) con material compartido por el/la docente.
- Reflexiona en actividad grupal sobre las regularidades de las operaciones entre conjuntos integrando patrones y relaciones matemáticas en el comportamiento de la operatoria entre los conjuntos.
- Reflexiona de manera grupal respecto de la aplicación de operaciones y propiedades entre los conjuntos.
- Organizados en grupos de trabajo, aplica las operaciones entre conjuntos (unión, intersección, complemento y diferencia) en situaciones contextualizadas.
</t>
    </r>
    <r>
      <rPr>
        <b/>
        <sz val="10"/>
        <color theme="1"/>
        <rFont val="Calibri"/>
        <family val="2"/>
        <scheme val="minor"/>
      </rPr>
      <t>En ayudantía</t>
    </r>
    <r>
      <rPr>
        <sz val="10"/>
        <color theme="1"/>
        <rFont val="Calibri"/>
        <family val="2"/>
        <scheme val="minor"/>
      </rPr>
      <t xml:space="preserve"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             </t>
    </r>
  </si>
  <si>
    <r>
      <t xml:space="preserve">El/la estudiante:
</t>
    </r>
    <r>
      <rPr>
        <b/>
        <sz val="10"/>
        <rFont val="Calibri"/>
        <family val="2"/>
        <scheme val="minor"/>
      </rPr>
      <t>- Entrega producto asociado a Evaluación Sumativa 1.</t>
    </r>
    <r>
      <rPr>
        <sz val="10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</si>
  <si>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 xml:space="preserve">Conjuntos Numéricos Parte 2: INGRESE AQUÍ </t>
  </si>
  <si>
    <t xml:space="preserve">Conjuntos Numéricos Parte 1: INGRESE AQUÍ </t>
  </si>
  <si>
    <t>- Ejercita las actividades desarrolladas en clase.
- Indaga para profundizar en las actividades desarrolladas en clase.
- Refuerza los aprendizajes que el/la estudiante identifique como disminuidos a partir de su desempeño en la Evaluación 1 y su retroalimentación.
- Revisa videos de apoyo Estudia Conmigo:</t>
  </si>
  <si>
    <t xml:space="preserve">Ecuaciones de primer grado: INGRESE AQUÍ </t>
  </si>
  <si>
    <t>- Ejercita las actividades desarrolladas en clase. 
- Indaga para profundizar en las actividades desarrolladas en clase. 
- Revisa videos de apoyo Estudia Conmigo:</t>
  </si>
  <si>
    <t>- Ejercita las actividades desarrolladas en clase.
- Indaga para profundizar en las actividades desarrolladas en clase.
- Refuerza los aprendizajes que el/la estudiante identifique como disminuidos a partir de su desempeño en la Evaluación 2 Parte 1 y su retroalimentación.</t>
  </si>
  <si>
    <t>- Ejercita las actividades desarrolladas en clase.
- Indaga para profundizar en las actividades desarrolladas en clase.
- Refuerza los contenidos de la Unidad II. 
- Refuerza los aprendizajes que el/la estudiante identifique como disminuidos a partir de su desempeño en la Evaluación 2 y su retroalimentación.</t>
  </si>
  <si>
    <t xml:space="preserve">- Identifica la pendiente y coeficiente de posición desde la ecuación general o particular de la recta.
- Calcula la pendiente y coeficiente de posición de una recta.
- Detecta patrones, relaciones e inconsistencias en las actividades realizadas.
- Integra patrones y relaciones matemáticas en las actividades realizadas.
</t>
  </si>
  <si>
    <r>
      <t xml:space="preserve">El/la estudiante:
- En representaciones gráficas entregadas por el/la docente, identifica la pendiente y coeficiente de posición desde la ecuación general o particular de la recta.
- En actividad grupal guiada por el/la docente, ve casos e integra patrones y relaciones matemáticas en las distintas actividades que involucran la función lineal.
- En actividad grupal con desafíos y situaciones contextualizadas entregadas por el/la docente, calcula el valor de la pendiente y su coeficiente de posición por medio de fórmula.
</t>
    </r>
    <r>
      <rPr>
        <b/>
        <sz val="10"/>
        <color theme="1"/>
        <rFont val="Calibri"/>
        <family val="2"/>
        <scheme val="minor"/>
      </rPr>
      <t>En ayudantía</t>
    </r>
    <r>
      <rPr>
        <sz val="10"/>
        <color theme="1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</si>
  <si>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- Ejercita las actividades desarrolladas en clase.
- Indaga para profundizar en las actividades desarrolladas en clase.
- Refuerza los contenidos de la Unidad III.</t>
  </si>
  <si>
    <t>- Ejercita las actividades desarrolladas en clase.
- Indaga para profundizar en las actividades desarrolladas en clase.
- Refuerza los contenidos de las Unidades I, II y III.
- Refuerza los aprendizajes que el/la estudiante identifique como disminuidos a partir de su desempeño en la Evaluación 3 y su retroalimentación.</t>
  </si>
  <si>
    <t xml:space="preserve"> % correspondiente a la evaluación que reemplaza
(Ev 1, 2 o 3)</t>
  </si>
  <si>
    <t>OPERATORIA MATEMÁTICA BÁSICA APLICADA A LAS CIENCIAS SOCIALES</t>
  </si>
  <si>
    <t>- Material audiovisual educativo Estudia Conmigo.
- Desafíos y situaciones contextualizadas</t>
  </si>
  <si>
    <r>
      <t xml:space="preserve">El/la estudiante:
- Reconoce los conceptos de razón y proporción con apoyo de material virtual y compartido por el/la docente (video, diagramas, bibliografía). 
- En actividad grupal con casos proporcionados por el/la docente, identifica proporciones directas e inversas en diversas situaciones contextualizadas.
- De manera grupal revisa casos e integra patrones y relaciones matemáticas de razón y proporción en distintos contextos.
- A partir de discusión y reflexión guiada por el/la docente, resuelve situaciones cotidianas y/o del ámbito profesional aplicando razón y proporción.
</t>
    </r>
    <r>
      <rPr>
        <b/>
        <sz val="10"/>
        <rFont val="Calibri"/>
        <family val="2"/>
        <scheme val="minor"/>
      </rPr>
      <t>- Rinde Evaluación Sumativa 2 (Parte 1).</t>
    </r>
    <r>
      <rPr>
        <sz val="10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</si>
  <si>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r>
      <t xml:space="preserve">- Reconoce el concepto de razón, proporción y </t>
    </r>
    <r>
      <rPr>
        <b/>
        <sz val="10"/>
        <color rgb="FF000000"/>
        <rFont val="Calibri"/>
        <family val="2"/>
        <scheme val="minor"/>
      </rPr>
      <t>porcentaje</t>
    </r>
    <r>
      <rPr>
        <sz val="10"/>
        <color rgb="FF000000"/>
        <rFont val="Calibri"/>
        <family val="2"/>
        <scheme val="minor"/>
      </rPr>
      <t>.   
- Aplica razón, proporción y</t>
    </r>
    <r>
      <rPr>
        <b/>
        <sz val="10"/>
        <color rgb="FF000000"/>
        <rFont val="Calibri"/>
        <family val="2"/>
        <scheme val="minor"/>
      </rPr>
      <t xml:space="preserve"> porcentaje </t>
    </r>
    <r>
      <rPr>
        <sz val="10"/>
        <color rgb="FF000000"/>
        <rFont val="Calibri"/>
        <family val="2"/>
        <scheme val="minor"/>
      </rPr>
      <t xml:space="preserve">en distintos contextos.
- Integra patrones y relaciones matemáticas en las actividades realizadas. 
- Detecta patrones, relaciones e inconsistencias en las actividades realizadas.                                                                   </t>
    </r>
  </si>
  <si>
    <r>
      <t xml:space="preserve">- Reconoce el concepto de </t>
    </r>
    <r>
      <rPr>
        <b/>
        <sz val="10"/>
        <color rgb="FF000000"/>
        <rFont val="Calibri"/>
        <family val="2"/>
        <scheme val="minor"/>
      </rPr>
      <t>razón, proporción</t>
    </r>
    <r>
      <rPr>
        <sz val="10"/>
        <color rgb="FF000000"/>
        <rFont val="Calibri"/>
        <family val="2"/>
        <scheme val="minor"/>
      </rPr>
      <t xml:space="preserve"> y porcentaje.
- Reconoce proporciones directas e inversas.
- Aplica</t>
    </r>
    <r>
      <rPr>
        <b/>
        <sz val="10"/>
        <color rgb="FF000000"/>
        <rFont val="Calibri"/>
        <family val="2"/>
        <scheme val="minor"/>
      </rPr>
      <t xml:space="preserve"> razón, proporción</t>
    </r>
    <r>
      <rPr>
        <sz val="10"/>
        <color rgb="FF000000"/>
        <rFont val="Calibri"/>
        <family val="2"/>
        <scheme val="minor"/>
      </rPr>
      <t xml:space="preserve"> y porcentaje en distintos contextos.
- Detecta patrones, relaciones e inconsistencias en las actividades realizadas.
- Integra patrones y relaciones matemáticas en las actividades realizadas.</t>
    </r>
  </si>
  <si>
    <t xml:space="preserve">- Reconoce ecuaciones de segundo grado de la forma
ax2 + bx + c = 0, con a ≠ 0.
- Aplica la ecuación de segundo grado en distintos contextos.
- Integra patrones y relaciones matemáticas en las actividades realizadas.    
- Detecta patrones, relaciones e inconsistencias en las actividades realizadas.      
</t>
  </si>
  <si>
    <r>
      <t>El/la estudiante:
'- De forma grupal, revisa casos y reconoce ecuaciones de segundo grado que se utilizan para dar solución a situaciones en diversos contextos.
- En actividad grupal con desafíos y situaciones contextualizadas entregadas por el/la docente, aplica la ecuación de segundo grado en situaciones contextualizadas del ámbito cotidiano y de su profesión.</t>
    </r>
    <r>
      <rPr>
        <sz val="10"/>
        <color rgb="FF0070C0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 xml:space="preserve">
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</si>
  <si>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r>
      <rPr>
        <sz val="10"/>
        <rFont val="Calibri"/>
        <family val="2"/>
        <scheme val="minor"/>
      </rPr>
      <t xml:space="preserve">El/la estudiante:
 - Reconoce los conceptos de porcentaje con apoyo de material virtual y compartido por el/la docente (video, diagramas, bibliografía)
- A partir de discusión y reflexión guiada por el/la docente, aplica los porcentajes en situaciones contextualizadas usando el concepto de porcentaje a través de la resolución de desafíos en equipos.
- De manera grupal, revisa casos e integra patrones y relaciones matemáticas de porcentajes en distintos contextos.
</t>
    </r>
    <r>
      <rPr>
        <b/>
        <sz val="10"/>
        <rFont val="Calibri"/>
        <family val="2"/>
        <scheme val="minor"/>
      </rPr>
      <t>- Revisa su desempeño en la Evaluación 2 Parte 1, durante sesión presencial de retroalimentación.</t>
    </r>
    <r>
      <rPr>
        <sz val="10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 xml:space="preserve"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
</t>
    </r>
  </si>
  <si>
    <r>
      <t xml:space="preserve">- Los/as estudiantes conocen a el/la profesor/a, el programa de la asignatura, y sus resultados de aprendizaje.                                                                                                                 
- Se hace mención de la Ley 21.369 y al respeto de las personas en todo tipo de actividades.
- Se familiarizan con la metodología de trabajo del curso, aplicada en el Taller de Ciencias (IVU), con énfasis en el desarrollo de habilidades de autonomía y autoaprendizaje, como antesala al mundo laboral.                                                                                                                                                   
- Se promueve la cultura de la evaluación formativa y permanente, con autoevaluación, coevaluación y evaluación docente-estudiante (heteroevaluación).
- Se proponen estrategias para aprovechar los recursos disponibles de la asignatura.
- Conocen detalle de las evaluaciones formativas y sumativas de la asignatura, con énfasis en el seguimiento y evaluación del progreso en el aprendizaje del/la estudiante.
El/la estudiante:
- Responde la evaluación diagnóstica relativa a Unidad I.
- A través de situaciones contextualizadas, identifica proposiciones lógicas y sus valores de verdad. 	                                                                                                                                         
- Lee enunciados verbales, integrando patrones y los relaciona con el comportamiento de los valores de verdad.
- En forma grupal, a través de ejemplos del ámbito cotidiano y profesional, utiliza proposiciones simples o compuestas.
- En la resolución de desafíos de forma grupal, identifica las proposiciones lógicas en un enunciado verbal. 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</si>
  <si>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r>
      <t xml:space="preserve">El/la estudiante:
- En actividad grupal con un ejercicio proporcionado por el/la docente emplean los diagramas de Venn-Euler para operaciones con conjuntos.
- En forma grupal, reflexionan sobre un ejercicio dado por el/la docente, resuelto con operaciones con conjuntos, con su representación con diagramas de Venn-Euler.
- En forma grupal, integra patrones y relaciones en el comportamiento de los conjuntos.
- A partir de una discusión y reflexión guiada por el/la docente, detecta patrones y relaciones en el comportamiento de las operaciones entre los conjuntos.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</si>
  <si>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r>
      <t xml:space="preserve">El/la estudiante:
- A partir de discusión y reflexión guiada por el/la docente, reconoce el concepto de potencia a través de la resolución de distintas situaciones contextualizadas.
- En forma grupal, con situaciones contextualizadas proporcionadas por el/la docente, integra patrones y relaciones matemáticas en las propiedades de las potencias.
- En forma grupal, con ejercicios proporcionados por el/la docente, reconoce los elementos básicos del álgebra en los reales: término y expresión algebraica, término semejante.
</t>
    </r>
    <r>
      <rPr>
        <b/>
        <sz val="10"/>
        <rFont val="Calibri"/>
        <family val="2"/>
        <scheme val="minor"/>
      </rPr>
      <t>- Revisa su desempeño en la Evaluación 1, durante sesión presencial de retroalimentación (sesión de retroalimentación).</t>
    </r>
    <r>
      <rPr>
        <sz val="10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En ayudantía</t>
    </r>
    <r>
      <rPr>
        <sz val="10"/>
        <rFont val="Calibri"/>
        <family val="2"/>
        <scheme val="minor"/>
      </rPr>
      <t>,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</si>
  <si>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N°4 – N°3 – N°13 – N°13</t>
  </si>
  <si>
    <t>CG: Generar procesos de abstracción, análisis y síntesispara favorecer el desempeño profesional.</t>
  </si>
  <si>
    <r>
      <t>Educación diferencial:</t>
    </r>
    <r>
      <rPr>
        <sz val="9"/>
        <color theme="1"/>
        <rFont val="Calibri"/>
        <family val="2"/>
        <scheme val="minor"/>
      </rPr>
      <t xml:space="preserve"> Desarrollar procesos investigativos que posibiliten abordar problemáticas de la educación especial para dar respuestas innovadoras en diferentes contextos educativos.</t>
    </r>
  </si>
  <si>
    <r>
      <t xml:space="preserve">Pedagogía en Educación Física: </t>
    </r>
    <r>
      <rPr>
        <sz val="9"/>
        <color theme="1"/>
        <rFont val="Calibri"/>
        <family val="2"/>
        <scheme val="minor"/>
      </rPr>
      <t>Implementar proyectos de investigación colaborativa para el abordaje de problemáticas emergentes en el contexto socioeducativo.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</si>
</sst>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1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ptos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ptos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35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8" borderId="0" xfId="0" applyFill="1"/>
    <xf numFmtId="0" fontId="4" fillId="0" borderId="1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/>
      <protection locked="0"/>
    </xf>
    <xf numFmtId="1" fontId="12" fillId="0" borderId="0" xfId="0" applyNumberFormat="1" applyFont="1" applyAlignment="1" applyProtection="1">
      <alignment horizontal="center"/>
      <protection locked="0"/>
    </xf>
    <xf numFmtId="0" fontId="9" fillId="6" borderId="10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 applyAlignment="1">
      <alignment horizontal="left" wrapText="1"/>
    </xf>
    <xf numFmtId="0" fontId="5" fillId="8" borderId="25" xfId="0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7" fillId="4" borderId="45" xfId="0" applyFont="1" applyFill="1" applyBorder="1" applyAlignment="1">
      <alignment horizontal="right"/>
    </xf>
    <xf numFmtId="0" fontId="2" fillId="7" borderId="46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9" fillId="6" borderId="12" xfId="0" applyFont="1" applyFill="1" applyBorder="1" applyAlignment="1" applyProtection="1">
      <alignment horizontal="center" vertical="center" wrapText="1"/>
      <protection locked="0"/>
    </xf>
    <xf numFmtId="1" fontId="21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1" fontId="2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31" xfId="0" applyFont="1" applyFill="1" applyBorder="1" applyAlignment="1" applyProtection="1">
      <alignment horizontal="center" vertical="center" wrapText="1"/>
      <protection locked="0"/>
    </xf>
    <xf numFmtId="0" fontId="18" fillId="3" borderId="1" xfId="0" quotePrefix="1" applyFont="1" applyFill="1" applyBorder="1" applyAlignment="1" applyProtection="1">
      <alignment horizontal="left" vertical="top" wrapText="1" indent="1"/>
      <protection locked="0"/>
    </xf>
    <xf numFmtId="0" fontId="9" fillId="6" borderId="32" xfId="0" applyFont="1" applyFill="1" applyBorder="1" applyAlignment="1" applyProtection="1">
      <alignment horizontal="center" vertical="center" wrapText="1"/>
      <protection locked="0"/>
    </xf>
    <xf numFmtId="0" fontId="4" fillId="0" borderId="28" xfId="0" applyFont="1" applyBorder="1" applyAlignment="1">
      <alignment horizontal="center" vertical="center"/>
    </xf>
    <xf numFmtId="0" fontId="17" fillId="0" borderId="11" xfId="0" applyFont="1" applyBorder="1" applyAlignment="1">
      <alignment vertical="center" wrapText="1"/>
    </xf>
    <xf numFmtId="0" fontId="19" fillId="3" borderId="1" xfId="0" applyFont="1" applyFill="1" applyBorder="1" applyAlignment="1" applyProtection="1">
      <alignment horizontal="center" vertical="center" wrapText="1"/>
      <protection locked="0"/>
    </xf>
    <xf numFmtId="9" fontId="2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3" borderId="1" xfId="0" applyFont="1" applyFill="1" applyBorder="1" applyAlignment="1" applyProtection="1">
      <alignment horizontal="center" vertical="center" wrapText="1"/>
      <protection locked="0"/>
    </xf>
    <xf numFmtId="1" fontId="28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1" xfId="0" quotePrefix="1" applyFont="1" applyFill="1" applyBorder="1" applyAlignment="1" applyProtection="1">
      <alignment horizontal="left" vertical="center" wrapText="1"/>
      <protection locked="0"/>
    </xf>
    <xf numFmtId="0" fontId="18" fillId="3" borderId="31" xfId="0" applyFont="1" applyFill="1" applyBorder="1" applyAlignment="1" applyProtection="1">
      <alignment horizontal="center" vertical="center" wrapText="1"/>
      <protection locked="0"/>
    </xf>
    <xf numFmtId="0" fontId="18" fillId="10" borderId="8" xfId="0" quotePrefix="1" applyFont="1" applyFill="1" applyBorder="1" applyAlignment="1" applyProtection="1">
      <alignment horizontal="left" wrapText="1"/>
      <protection locked="0"/>
    </xf>
    <xf numFmtId="0" fontId="29" fillId="10" borderId="9" xfId="2" quotePrefix="1" applyFont="1" applyFill="1" applyBorder="1" applyAlignment="1" applyProtection="1">
      <alignment horizontal="left" vertical="top" wrapText="1"/>
      <protection locked="0"/>
    </xf>
    <xf numFmtId="0" fontId="29" fillId="10" borderId="9" xfId="2" applyFont="1" applyFill="1" applyBorder="1" applyAlignment="1" applyProtection="1">
      <alignment horizontal="left" vertical="top"/>
      <protection locked="0"/>
    </xf>
    <xf numFmtId="0" fontId="29" fillId="10" borderId="10" xfId="2" quotePrefix="1" applyFont="1" applyFill="1" applyBorder="1" applyAlignment="1" applyProtection="1">
      <alignment horizontal="left" vertical="top" wrapText="1"/>
      <protection locked="0"/>
    </xf>
    <xf numFmtId="0" fontId="18" fillId="10" borderId="1" xfId="0" quotePrefix="1" applyFont="1" applyFill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1" fontId="16" fillId="6" borderId="8" xfId="0" quotePrefix="1" applyNumberFormat="1" applyFont="1" applyFill="1" applyBorder="1" applyAlignment="1" applyProtection="1">
      <alignment horizontal="left" wrapText="1"/>
      <protection locked="0"/>
    </xf>
    <xf numFmtId="1" fontId="29" fillId="6" borderId="9" xfId="2" applyNumberFormat="1" applyFont="1" applyFill="1" applyBorder="1" applyAlignment="1" applyProtection="1">
      <alignment horizontal="left" vertical="top" wrapText="1"/>
      <protection locked="0"/>
    </xf>
    <xf numFmtId="1" fontId="21" fillId="6" borderId="2" xfId="0" applyNumberFormat="1" applyFont="1" applyFill="1" applyBorder="1" applyAlignment="1" applyProtection="1">
      <alignment horizontal="center" vertical="center" wrapText="1"/>
      <protection locked="0"/>
    </xf>
    <xf numFmtId="1" fontId="21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16" fillId="6" borderId="8" xfId="0" quotePrefix="1" applyNumberFormat="1" applyFont="1" applyFill="1" applyBorder="1" applyAlignment="1" applyProtection="1">
      <alignment vertical="center" wrapText="1"/>
      <protection locked="0"/>
    </xf>
    <xf numFmtId="9" fontId="28" fillId="6" borderId="1" xfId="1" applyFont="1" applyFill="1" applyBorder="1" applyAlignment="1" applyProtection="1">
      <alignment horizontal="center" vertical="center" wrapText="1"/>
      <protection locked="0"/>
    </xf>
    <xf numFmtId="0" fontId="18" fillId="6" borderId="3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19" fillId="6" borderId="1" xfId="0" applyFont="1" applyFill="1" applyBorder="1" applyAlignment="1" applyProtection="1">
      <alignment horizontal="center" vertical="center"/>
      <protection locked="0"/>
    </xf>
    <xf numFmtId="0" fontId="20" fillId="6" borderId="1" xfId="0" applyFont="1" applyFill="1" applyBorder="1" applyAlignment="1" applyProtection="1">
      <alignment horizontal="center" vertical="center"/>
      <protection locked="0"/>
    </xf>
    <xf numFmtId="1" fontId="16" fillId="6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20" fillId="11" borderId="1" xfId="0" applyFont="1" applyFill="1" applyBorder="1" applyAlignment="1" applyProtection="1">
      <alignment horizontal="center" vertical="center" wrapText="1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8" fillId="11" borderId="1" xfId="0" quotePrefix="1" applyFont="1" applyFill="1" applyBorder="1" applyAlignment="1" applyProtection="1">
      <alignment horizontal="left" vertical="center" wrapText="1"/>
      <protection locked="0"/>
    </xf>
    <xf numFmtId="0" fontId="19" fillId="11" borderId="31" xfId="0" applyFont="1" applyFill="1" applyBorder="1" applyAlignment="1" applyProtection="1">
      <alignment horizontal="center" vertical="center" wrapText="1"/>
      <protection locked="0"/>
    </xf>
    <xf numFmtId="0" fontId="18" fillId="11" borderId="31" xfId="0" applyFont="1" applyFill="1" applyBorder="1" applyAlignment="1" applyProtection="1">
      <alignment horizontal="center" vertical="center" wrapText="1"/>
      <protection locked="0"/>
    </xf>
    <xf numFmtId="9" fontId="26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11" borderId="1" xfId="0" applyFont="1" applyFill="1" applyBorder="1" applyAlignment="1" applyProtection="1">
      <alignment horizontal="center" vertical="center" wrapText="1"/>
      <protection locked="0"/>
    </xf>
    <xf numFmtId="1" fontId="21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12" borderId="8" xfId="0" quotePrefix="1" applyFont="1" applyFill="1" applyBorder="1" applyAlignment="1" applyProtection="1">
      <alignment horizontal="left" wrapText="1"/>
      <protection locked="0"/>
    </xf>
    <xf numFmtId="0" fontId="29" fillId="12" borderId="10" xfId="2" quotePrefix="1" applyFont="1" applyFill="1" applyBorder="1" applyAlignment="1" applyProtection="1">
      <alignment horizontal="left" vertical="top" wrapText="1"/>
      <protection locked="0"/>
    </xf>
    <xf numFmtId="0" fontId="29" fillId="12" borderId="9" xfId="2" quotePrefix="1" applyFont="1" applyFill="1" applyBorder="1" applyAlignment="1" applyProtection="1">
      <alignment horizontal="left" vertical="top" wrapText="1"/>
      <protection locked="0"/>
    </xf>
    <xf numFmtId="1" fontId="21" fillId="12" borderId="1" xfId="0" applyNumberFormat="1" applyFont="1" applyFill="1" applyBorder="1" applyAlignment="1" applyProtection="1">
      <alignment horizontal="center" vertical="center" wrapText="1"/>
      <protection locked="0"/>
    </xf>
    <xf numFmtId="1" fontId="28" fillId="12" borderId="1" xfId="0" applyNumberFormat="1" applyFont="1" applyFill="1" applyBorder="1" applyAlignment="1" applyProtection="1">
      <alignment horizontal="center" vertical="center" wrapText="1"/>
      <protection locked="0"/>
    </xf>
    <xf numFmtId="1" fontId="16" fillId="13" borderId="8" xfId="0" quotePrefix="1" applyNumberFormat="1" applyFont="1" applyFill="1" applyBorder="1" applyAlignment="1" applyProtection="1">
      <alignment horizontal="left" wrapText="1"/>
      <protection locked="0"/>
    </xf>
    <xf numFmtId="1" fontId="29" fillId="13" borderId="10" xfId="2" quotePrefix="1" applyNumberFormat="1" applyFont="1" applyFill="1" applyBorder="1" applyAlignment="1" applyProtection="1">
      <alignment horizontal="left" vertical="top" wrapText="1"/>
      <protection locked="0"/>
    </xf>
    <xf numFmtId="1" fontId="21" fillId="13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0" xfId="0" applyFont="1" applyBorder="1" applyAlignment="1">
      <alignment horizontal="center" vertical="center"/>
    </xf>
    <xf numFmtId="0" fontId="29" fillId="10" borderId="9" xfId="2" quotePrefix="1" applyFont="1" applyFill="1" applyBorder="1" applyAlignment="1" applyProtection="1">
      <alignment horizontal="left" wrapText="1"/>
      <protection locked="0"/>
    </xf>
    <xf numFmtId="0" fontId="18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 applyProtection="1">
      <alignment horizontal="center" vertical="center" wrapText="1"/>
      <protection locked="0"/>
    </xf>
    <xf numFmtId="1" fontId="18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1" fontId="18" fillId="6" borderId="1" xfId="0" applyNumberFormat="1" applyFont="1" applyFill="1" applyBorder="1" applyAlignment="1" applyProtection="1">
      <alignment horizontal="center" vertical="center" wrapText="1"/>
      <protection locked="0"/>
    </xf>
    <xf numFmtId="9" fontId="0" fillId="6" borderId="1" xfId="0" applyNumberFormat="1" applyFill="1" applyBorder="1" applyAlignment="1" applyProtection="1">
      <alignment horizontal="center" vertical="center" wrapText="1"/>
      <protection locked="0"/>
    </xf>
    <xf numFmtId="0" fontId="19" fillId="6" borderId="9" xfId="0" quotePrefix="1" applyFont="1" applyFill="1" applyBorder="1" applyAlignment="1" applyProtection="1">
      <alignment vertical="center" wrapText="1"/>
      <protection locked="0"/>
    </xf>
    <xf numFmtId="0" fontId="16" fillId="3" borderId="1" xfId="0" quotePrefix="1" applyFont="1" applyFill="1" applyBorder="1" applyAlignment="1">
      <alignment vertical="center" wrapText="1"/>
    </xf>
    <xf numFmtId="0" fontId="16" fillId="11" borderId="1" xfId="0" quotePrefix="1" applyFont="1" applyFill="1" applyBorder="1" applyAlignment="1">
      <alignment vertical="center" wrapText="1"/>
    </xf>
    <xf numFmtId="0" fontId="16" fillId="11" borderId="1" xfId="0" quotePrefix="1" applyFont="1" applyFill="1" applyBorder="1" applyAlignment="1">
      <alignment horizontal="left" vertical="center" wrapText="1"/>
    </xf>
    <xf numFmtId="0" fontId="16" fillId="12" borderId="1" xfId="0" quotePrefix="1" applyFont="1" applyFill="1" applyBorder="1" applyAlignment="1">
      <alignment vertical="center" wrapText="1"/>
    </xf>
    <xf numFmtId="0" fontId="16" fillId="6" borderId="1" xfId="0" quotePrefix="1" applyFont="1" applyFill="1" applyBorder="1" applyAlignment="1">
      <alignment vertical="center" wrapText="1"/>
    </xf>
    <xf numFmtId="1" fontId="18" fillId="6" borderId="1" xfId="0" applyNumberFormat="1" applyFont="1" applyFill="1" applyBorder="1" applyAlignment="1" applyProtection="1">
      <alignment horizontal="left" vertical="center" wrapText="1"/>
      <protection locked="0"/>
    </xf>
    <xf numFmtId="0" fontId="20" fillId="6" borderId="1" xfId="0" quotePrefix="1" applyFont="1" applyFill="1" applyBorder="1" applyAlignment="1" applyProtection="1">
      <alignment vertical="center" wrapText="1"/>
      <protection locked="0"/>
    </xf>
    <xf numFmtId="0" fontId="18" fillId="6" borderId="10" xfId="0" quotePrefix="1" applyFont="1" applyFill="1" applyBorder="1" applyAlignment="1" applyProtection="1">
      <alignment horizontal="left" vertical="center" wrapText="1"/>
      <protection locked="0"/>
    </xf>
    <xf numFmtId="0" fontId="18" fillId="12" borderId="8" xfId="0" quotePrefix="1" applyFont="1" applyFill="1" applyBorder="1" applyAlignment="1" applyProtection="1">
      <alignment horizontal="left" vertical="center" wrapText="1"/>
      <protection locked="0"/>
    </xf>
    <xf numFmtId="0" fontId="19" fillId="12" borderId="1" xfId="0" applyFont="1" applyFill="1" applyBorder="1" applyAlignment="1" applyProtection="1">
      <alignment horizontal="left" vertical="center" wrapText="1"/>
      <protection locked="0"/>
    </xf>
    <xf numFmtId="0" fontId="18" fillId="12" borderId="1" xfId="0" quotePrefix="1" applyFont="1" applyFill="1" applyBorder="1" applyAlignment="1" applyProtection="1">
      <alignment horizontal="left" vertical="center" wrapText="1"/>
      <protection locked="0"/>
    </xf>
    <xf numFmtId="0" fontId="18" fillId="12" borderId="10" xfId="0" quotePrefix="1" applyFont="1" applyFill="1" applyBorder="1" applyAlignment="1" applyProtection="1">
      <alignment horizontal="left" vertical="center" wrapText="1"/>
      <protection locked="0"/>
    </xf>
    <xf numFmtId="0" fontId="16" fillId="12" borderId="8" xfId="0" quotePrefix="1" applyFont="1" applyFill="1" applyBorder="1" applyAlignment="1">
      <alignment vertical="center" wrapText="1"/>
    </xf>
    <xf numFmtId="0" fontId="10" fillId="12" borderId="8" xfId="0" quotePrefix="1" applyFont="1" applyFill="1" applyBorder="1" applyAlignment="1" applyProtection="1">
      <alignment horizontal="left" vertical="center" wrapText="1"/>
      <protection locked="0"/>
    </xf>
    <xf numFmtId="9" fontId="28" fillId="12" borderId="1" xfId="1" applyFont="1" applyFill="1" applyBorder="1" applyAlignment="1" applyProtection="1">
      <alignment horizontal="center" vertical="center" wrapText="1"/>
      <protection locked="0"/>
    </xf>
    <xf numFmtId="0" fontId="16" fillId="10" borderId="1" xfId="0" quotePrefix="1" applyFont="1" applyFill="1" applyBorder="1" applyAlignment="1">
      <alignment vertical="center" wrapText="1"/>
    </xf>
    <xf numFmtId="1" fontId="16" fillId="10" borderId="1" xfId="0" applyNumberFormat="1" applyFont="1" applyFill="1" applyBorder="1" applyAlignment="1" applyProtection="1">
      <alignment horizontal="left" vertical="center" wrapText="1"/>
      <protection locked="0"/>
    </xf>
    <xf numFmtId="1" fontId="18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10" borderId="31" xfId="0" applyFont="1" applyFill="1" applyBorder="1" applyAlignment="1" applyProtection="1">
      <alignment horizontal="center" vertical="center" wrapText="1"/>
      <protection locked="0"/>
    </xf>
    <xf numFmtId="0" fontId="18" fillId="10" borderId="31" xfId="0" applyFont="1" applyFill="1" applyBorder="1" applyAlignment="1" applyProtection="1">
      <alignment horizontal="center" vertical="center" wrapText="1"/>
      <protection locked="0"/>
    </xf>
    <xf numFmtId="9" fontId="30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 applyProtection="1">
      <alignment horizontal="left" vertical="center" wrapText="1"/>
      <protection locked="0"/>
    </xf>
    <xf numFmtId="0" fontId="16" fillId="3" borderId="1" xfId="0" quotePrefix="1" applyFont="1" applyFill="1" applyBorder="1" applyAlignment="1">
      <alignment horizontal="left" vertical="center" wrapText="1"/>
    </xf>
    <xf numFmtId="1" fontId="18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27" fillId="3" borderId="1" xfId="1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 applyProtection="1">
      <alignment horizontal="left" vertical="center" wrapText="1"/>
      <protection locked="0"/>
    </xf>
    <xf numFmtId="0" fontId="23" fillId="10" borderId="9" xfId="2" quotePrefix="1" applyFill="1" applyBorder="1" applyAlignment="1" applyProtection="1">
      <alignment horizontal="left" vertical="top" wrapText="1"/>
      <protection locked="0"/>
    </xf>
    <xf numFmtId="0" fontId="12" fillId="12" borderId="10" xfId="0" applyFont="1" applyFill="1" applyBorder="1" applyAlignment="1" applyProtection="1">
      <alignment horizontal="center"/>
      <protection locked="0"/>
    </xf>
    <xf numFmtId="0" fontId="29" fillId="12" borderId="9" xfId="2" applyFont="1" applyFill="1" applyBorder="1" applyAlignment="1">
      <alignment vertical="top"/>
    </xf>
    <xf numFmtId="0" fontId="18" fillId="11" borderId="1" xfId="0" applyFont="1" applyFill="1" applyBorder="1" applyAlignment="1" applyProtection="1">
      <alignment horizontal="center" vertical="center" wrapText="1"/>
      <protection locked="0"/>
    </xf>
    <xf numFmtId="1" fontId="22" fillId="12" borderId="1" xfId="0" applyNumberFormat="1" applyFont="1" applyFill="1" applyBorder="1" applyAlignment="1" applyProtection="1">
      <alignment horizontal="center" vertical="center" wrapText="1"/>
      <protection locked="0"/>
    </xf>
    <xf numFmtId="1" fontId="22" fillId="10" borderId="1" xfId="0" applyNumberFormat="1" applyFont="1" applyFill="1" applyBorder="1" applyAlignment="1" applyProtection="1">
      <alignment horizontal="center" vertical="center" wrapText="1"/>
      <protection locked="0"/>
    </xf>
    <xf numFmtId="1" fontId="1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locked="0"/>
    </xf>
    <xf numFmtId="1" fontId="28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39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left" vertical="top"/>
    </xf>
    <xf numFmtId="0" fontId="9" fillId="5" borderId="34" xfId="0" applyFont="1" applyFill="1" applyBorder="1" applyAlignment="1">
      <alignment horizontal="left" vertical="top"/>
    </xf>
    <xf numFmtId="0" fontId="9" fillId="5" borderId="35" xfId="0" applyFont="1" applyFill="1" applyBorder="1" applyAlignment="1">
      <alignment horizontal="left" vertical="top"/>
    </xf>
    <xf numFmtId="0" fontId="9" fillId="5" borderId="20" xfId="0" applyFont="1" applyFill="1" applyBorder="1" applyAlignment="1">
      <alignment horizontal="left" vertical="top"/>
    </xf>
    <xf numFmtId="0" fontId="9" fillId="5" borderId="21" xfId="0" applyFont="1" applyFill="1" applyBorder="1" applyAlignment="1">
      <alignment horizontal="left" vertical="top"/>
    </xf>
    <xf numFmtId="0" fontId="9" fillId="5" borderId="22" xfId="0" applyFont="1" applyFill="1" applyBorder="1" applyAlignment="1">
      <alignment horizontal="left" vertical="top"/>
    </xf>
    <xf numFmtId="0" fontId="10" fillId="5" borderId="2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4" fillId="14" borderId="27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8" borderId="27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left" vertical="top"/>
    </xf>
    <xf numFmtId="0" fontId="9" fillId="5" borderId="29" xfId="0" applyFont="1" applyFill="1" applyBorder="1" applyAlignment="1">
      <alignment horizontal="left" vertical="top"/>
    </xf>
    <xf numFmtId="0" fontId="9" fillId="5" borderId="30" xfId="0" applyFont="1" applyFill="1" applyBorder="1" applyAlignment="1">
      <alignment horizontal="left" vertical="top"/>
    </xf>
    <xf numFmtId="0" fontId="10" fillId="5" borderId="1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center" vertical="center" wrapText="1"/>
    </xf>
    <xf numFmtId="1" fontId="5" fillId="8" borderId="7" xfId="0" applyNumberFormat="1" applyFont="1" applyFill="1" applyBorder="1" applyAlignment="1">
      <alignment horizontal="center" vertical="center" wrapText="1"/>
    </xf>
    <xf numFmtId="1" fontId="5" fillId="8" borderId="6" xfId="0" applyNumberFormat="1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0" fontId="10" fillId="3" borderId="10" xfId="0" applyFont="1" applyFill="1" applyBorder="1" applyAlignment="1" applyProtection="1">
      <alignment horizontal="center" vertical="center" wrapText="1"/>
      <protection locked="0"/>
    </xf>
    <xf numFmtId="1" fontId="21" fillId="10" borderId="8" xfId="0" applyNumberFormat="1" applyFont="1" applyFill="1" applyBorder="1" applyAlignment="1" applyProtection="1">
      <alignment horizontal="center" vertical="center" wrapText="1"/>
      <protection locked="0"/>
    </xf>
    <xf numFmtId="1" fontId="21" fillId="10" borderId="9" xfId="0" applyNumberFormat="1" applyFont="1" applyFill="1" applyBorder="1" applyAlignment="1" applyProtection="1">
      <alignment horizontal="center" vertical="center" wrapText="1"/>
      <protection locked="0"/>
    </xf>
    <xf numFmtId="1" fontId="21" fillId="10" borderId="10" xfId="0" applyNumberFormat="1" applyFont="1" applyFill="1" applyBorder="1" applyAlignment="1" applyProtection="1">
      <alignment horizontal="center" vertical="center" wrapText="1"/>
      <protection locked="0"/>
    </xf>
    <xf numFmtId="0" fontId="16" fillId="10" borderId="8" xfId="0" quotePrefix="1" applyFont="1" applyFill="1" applyBorder="1" applyAlignment="1">
      <alignment horizontal="left" vertical="center" wrapText="1"/>
    </xf>
    <xf numFmtId="0" fontId="16" fillId="10" borderId="9" xfId="0" quotePrefix="1" applyFont="1" applyFill="1" applyBorder="1" applyAlignment="1">
      <alignment horizontal="left" vertical="center" wrapText="1"/>
    </xf>
    <xf numFmtId="0" fontId="16" fillId="10" borderId="10" xfId="0" quotePrefix="1" applyFont="1" applyFill="1" applyBorder="1" applyAlignment="1">
      <alignment horizontal="left" vertical="center" wrapText="1"/>
    </xf>
    <xf numFmtId="1" fontId="16" fillId="10" borderId="8" xfId="0" quotePrefix="1" applyNumberFormat="1" applyFont="1" applyFill="1" applyBorder="1" applyAlignment="1" applyProtection="1">
      <alignment horizontal="left" vertical="center" wrapText="1"/>
      <protection locked="0"/>
    </xf>
    <xf numFmtId="1" fontId="16" fillId="10" borderId="9" xfId="0" quotePrefix="1" applyNumberFormat="1" applyFont="1" applyFill="1" applyBorder="1" applyAlignment="1" applyProtection="1">
      <alignment horizontal="left" vertical="center" wrapText="1"/>
      <protection locked="0"/>
    </xf>
    <xf numFmtId="1" fontId="16" fillId="10" borderId="10" xfId="0" quotePrefix="1" applyNumberFormat="1" applyFont="1" applyFill="1" applyBorder="1" applyAlignment="1" applyProtection="1">
      <alignment horizontal="left" vertical="center" wrapText="1"/>
      <protection locked="0"/>
    </xf>
    <xf numFmtId="1" fontId="16" fillId="10" borderId="8" xfId="0" applyNumberFormat="1" applyFont="1" applyFill="1" applyBorder="1" applyAlignment="1" applyProtection="1">
      <alignment horizontal="center" vertical="center" wrapText="1"/>
      <protection locked="0"/>
    </xf>
    <xf numFmtId="1" fontId="16" fillId="10" borderId="9" xfId="0" applyNumberFormat="1" applyFont="1" applyFill="1" applyBorder="1" applyAlignment="1" applyProtection="1">
      <alignment horizontal="center" vertical="center" wrapText="1"/>
      <protection locked="0"/>
    </xf>
    <xf numFmtId="1" fontId="16" fillId="10" borderId="10" xfId="0" applyNumberFormat="1" applyFont="1" applyFill="1" applyBorder="1" applyAlignment="1" applyProtection="1">
      <alignment horizontal="center" vertical="center" wrapText="1"/>
      <protection locked="0"/>
    </xf>
    <xf numFmtId="1" fontId="28" fillId="10" borderId="8" xfId="0" applyNumberFormat="1" applyFont="1" applyFill="1" applyBorder="1" applyAlignment="1" applyProtection="1">
      <alignment horizontal="center" vertical="center" wrapText="1"/>
      <protection locked="0"/>
    </xf>
    <xf numFmtId="1" fontId="28" fillId="10" borderId="10" xfId="0" applyNumberFormat="1" applyFont="1" applyFill="1" applyBorder="1" applyAlignment="1" applyProtection="1">
      <alignment horizontal="center" vertical="center" wrapText="1"/>
      <protection locked="0"/>
    </xf>
    <xf numFmtId="9" fontId="28" fillId="10" borderId="8" xfId="0" applyNumberFormat="1" applyFont="1" applyFill="1" applyBorder="1" applyAlignment="1" applyProtection="1">
      <alignment horizontal="center" vertical="center" wrapText="1"/>
      <protection locked="0"/>
    </xf>
    <xf numFmtId="9" fontId="28" fillId="10" borderId="10" xfId="0" applyNumberFormat="1" applyFont="1" applyFill="1" applyBorder="1" applyAlignment="1" applyProtection="1">
      <alignment horizontal="center" vertical="center" wrapText="1"/>
      <protection locked="0"/>
    </xf>
    <xf numFmtId="0" fontId="18" fillId="10" borderId="8" xfId="0" applyFont="1" applyFill="1" applyBorder="1" applyAlignment="1" applyProtection="1">
      <alignment horizontal="center" vertical="center" wrapText="1"/>
      <protection locked="0"/>
    </xf>
    <xf numFmtId="0" fontId="18" fillId="10" borderId="10" xfId="0" applyFont="1" applyFill="1" applyBorder="1" applyAlignment="1" applyProtection="1">
      <alignment horizontal="center" vertical="center" wrapText="1"/>
      <protection locked="0"/>
    </xf>
    <xf numFmtId="0" fontId="20" fillId="10" borderId="8" xfId="0" applyFont="1" applyFill="1" applyBorder="1" applyAlignment="1" applyProtection="1">
      <alignment horizontal="center" vertical="center" wrapText="1"/>
      <protection locked="0"/>
    </xf>
    <xf numFmtId="0" fontId="20" fillId="10" borderId="10" xfId="0" applyFont="1" applyFill="1" applyBorder="1" applyAlignment="1" applyProtection="1">
      <alignment horizontal="center" vertical="center" wrapText="1"/>
      <protection locked="0"/>
    </xf>
    <xf numFmtId="0" fontId="19" fillId="10" borderId="8" xfId="0" applyFont="1" applyFill="1" applyBorder="1" applyAlignment="1" applyProtection="1">
      <alignment horizontal="center" vertical="center" wrapText="1"/>
      <protection locked="0"/>
    </xf>
    <xf numFmtId="0" fontId="19" fillId="10" borderId="9" xfId="0" applyFont="1" applyFill="1" applyBorder="1" applyAlignment="1" applyProtection="1">
      <alignment horizontal="center" vertical="center" wrapText="1"/>
      <protection locked="0"/>
    </xf>
    <xf numFmtId="0" fontId="19" fillId="10" borderId="10" xfId="0" applyFont="1" applyFill="1" applyBorder="1" applyAlignment="1" applyProtection="1">
      <alignment horizontal="center" vertical="center" wrapText="1"/>
      <protection locked="0"/>
    </xf>
    <xf numFmtId="0" fontId="18" fillId="10" borderId="9" xfId="0" applyFont="1" applyFill="1" applyBorder="1" applyAlignment="1" applyProtection="1">
      <alignment horizontal="center" vertical="center" wrapText="1"/>
      <protection locked="0"/>
    </xf>
    <xf numFmtId="0" fontId="18" fillId="10" borderId="8" xfId="0" applyFont="1" applyFill="1" applyBorder="1" applyAlignment="1" applyProtection="1">
      <alignment horizontal="left" vertical="center" wrapText="1"/>
      <protection locked="0"/>
    </xf>
    <xf numFmtId="0" fontId="18" fillId="10" borderId="9" xfId="0" applyFont="1" applyFill="1" applyBorder="1" applyAlignment="1" applyProtection="1">
      <alignment horizontal="left" vertical="center" wrapText="1"/>
      <protection locked="0"/>
    </xf>
    <xf numFmtId="0" fontId="18" fillId="10" borderId="10" xfId="0" applyFont="1" applyFill="1" applyBorder="1" applyAlignment="1" applyProtection="1">
      <alignment horizontal="left" vertical="center" wrapText="1"/>
      <protection locked="0"/>
    </xf>
    <xf numFmtId="1" fontId="21" fillId="13" borderId="8" xfId="0" applyNumberFormat="1" applyFont="1" applyFill="1" applyBorder="1" applyAlignment="1" applyProtection="1">
      <alignment horizontal="center" vertical="center" wrapText="1"/>
      <protection locked="0"/>
    </xf>
    <xf numFmtId="1" fontId="21" fillId="13" borderId="10" xfId="0" applyNumberFormat="1" applyFont="1" applyFill="1" applyBorder="1" applyAlignment="1" applyProtection="1">
      <alignment horizontal="center" vertical="center" wrapText="1"/>
      <protection locked="0"/>
    </xf>
    <xf numFmtId="0" fontId="18" fillId="6" borderId="8" xfId="0" applyFont="1" applyFill="1" applyBorder="1" applyAlignment="1" applyProtection="1">
      <alignment horizontal="left" vertical="center" wrapText="1"/>
      <protection locked="0"/>
    </xf>
    <xf numFmtId="0" fontId="19" fillId="6" borderId="10" xfId="0" applyFont="1" applyFill="1" applyBorder="1" applyAlignment="1" applyProtection="1">
      <alignment horizontal="left" vertical="center" wrapText="1"/>
      <protection locked="0"/>
    </xf>
    <xf numFmtId="0" fontId="16" fillId="6" borderId="8" xfId="0" quotePrefix="1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 wrapText="1"/>
    </xf>
    <xf numFmtId="1" fontId="21" fillId="6" borderId="8" xfId="0" applyNumberFormat="1" applyFont="1" applyFill="1" applyBorder="1" applyAlignment="1" applyProtection="1">
      <alignment horizontal="center" vertical="center" wrapText="1"/>
      <protection locked="0"/>
    </xf>
    <xf numFmtId="1" fontId="21" fillId="6" borderId="10" xfId="0" applyNumberFormat="1" applyFont="1" applyFill="1" applyBorder="1" applyAlignment="1" applyProtection="1">
      <alignment horizontal="center" vertical="center" wrapText="1"/>
      <protection locked="0"/>
    </xf>
    <xf numFmtId="1" fontId="28" fillId="13" borderId="8" xfId="0" applyNumberFormat="1" applyFont="1" applyFill="1" applyBorder="1" applyAlignment="1" applyProtection="1">
      <alignment horizontal="center" vertical="center" wrapText="1"/>
      <protection locked="0"/>
    </xf>
    <xf numFmtId="1" fontId="28" fillId="13" borderId="10" xfId="0" applyNumberFormat="1" applyFont="1" applyFill="1" applyBorder="1" applyAlignment="1" applyProtection="1">
      <alignment horizontal="center" vertical="center" wrapText="1"/>
      <protection locked="0"/>
    </xf>
    <xf numFmtId="9" fontId="30" fillId="13" borderId="11" xfId="0" applyNumberFormat="1" applyFont="1" applyFill="1" applyBorder="1" applyAlignment="1" applyProtection="1">
      <alignment horizontal="center" vertical="center" wrapText="1"/>
      <protection locked="0"/>
    </xf>
    <xf numFmtId="9" fontId="30" fillId="13" borderId="12" xfId="0" applyNumberFormat="1" applyFont="1" applyFill="1" applyBorder="1" applyAlignment="1" applyProtection="1">
      <alignment horizontal="center" vertical="center" wrapText="1"/>
      <protection locked="0"/>
    </xf>
    <xf numFmtId="0" fontId="18" fillId="13" borderId="8" xfId="0" applyFont="1" applyFill="1" applyBorder="1" applyAlignment="1" applyProtection="1">
      <alignment horizontal="center" vertical="center" wrapText="1"/>
      <protection locked="0"/>
    </xf>
    <xf numFmtId="0" fontId="18" fillId="13" borderId="10" xfId="0" applyFont="1" applyFill="1" applyBorder="1" applyAlignment="1" applyProtection="1">
      <alignment horizontal="center" vertical="center" wrapText="1"/>
      <protection locked="0"/>
    </xf>
    <xf numFmtId="0" fontId="19" fillId="13" borderId="5" xfId="0" applyFont="1" applyFill="1" applyBorder="1" applyAlignment="1" applyProtection="1">
      <alignment horizontal="center" vertical="center" wrapText="1"/>
      <protection locked="0"/>
    </xf>
    <xf numFmtId="0" fontId="19" fillId="13" borderId="6" xfId="0" applyFont="1" applyFill="1" applyBorder="1" applyAlignment="1" applyProtection="1">
      <alignment horizontal="center" vertical="center" wrapText="1"/>
      <protection locked="0"/>
    </xf>
    <xf numFmtId="1" fontId="16" fillId="13" borderId="8" xfId="0" quotePrefix="1" applyNumberFormat="1" applyFont="1" applyFill="1" applyBorder="1" applyAlignment="1" applyProtection="1">
      <alignment horizontal="left" vertical="center" wrapText="1"/>
      <protection locked="0"/>
    </xf>
    <xf numFmtId="1" fontId="16" fillId="13" borderId="10" xfId="0" applyNumberFormat="1" applyFont="1" applyFill="1" applyBorder="1" applyAlignment="1" applyProtection="1">
      <alignment horizontal="left" vertical="center" wrapText="1"/>
      <protection locked="0"/>
    </xf>
    <xf numFmtId="1" fontId="16" fillId="13" borderId="8" xfId="0" applyNumberFormat="1" applyFont="1" applyFill="1" applyBorder="1" applyAlignment="1" applyProtection="1">
      <alignment horizontal="center" vertical="center" wrapText="1"/>
      <protection locked="0"/>
    </xf>
    <xf numFmtId="1" fontId="16" fillId="13" borderId="10" xfId="0" applyNumberFormat="1" applyFont="1" applyFill="1" applyBorder="1" applyAlignment="1" applyProtection="1">
      <alignment horizontal="center" vertical="center" wrapText="1"/>
      <protection locked="0"/>
    </xf>
    <xf numFmtId="0" fontId="19" fillId="13" borderId="8" xfId="0" applyFont="1" applyFill="1" applyBorder="1" applyAlignment="1" applyProtection="1">
      <alignment horizontal="left" vertical="center" wrapText="1"/>
      <protection locked="0"/>
    </xf>
    <xf numFmtId="0" fontId="19" fillId="13" borderId="10" xfId="0" applyFont="1" applyFill="1" applyBorder="1" applyAlignment="1" applyProtection="1">
      <alignment horizontal="left" vertical="center" wrapText="1"/>
      <protection locked="0"/>
    </xf>
    <xf numFmtId="0" fontId="16" fillId="13" borderId="8" xfId="0" quotePrefix="1" applyFont="1" applyFill="1" applyBorder="1" applyAlignment="1">
      <alignment horizontal="left" vertical="center" wrapText="1"/>
    </xf>
    <xf numFmtId="0" fontId="16" fillId="13" borderId="10" xfId="0" applyFont="1" applyFill="1" applyBorder="1" applyAlignment="1">
      <alignment horizontal="left" vertical="center" wrapText="1"/>
    </xf>
    <xf numFmtId="1" fontId="16" fillId="6" borderId="8" xfId="0" quotePrefix="1" applyNumberFormat="1" applyFont="1" applyFill="1" applyBorder="1" applyAlignment="1" applyProtection="1">
      <alignment horizontal="left" vertical="center" wrapText="1"/>
      <protection locked="0"/>
    </xf>
    <xf numFmtId="1" fontId="16" fillId="6" borderId="10" xfId="0" applyNumberFormat="1" applyFont="1" applyFill="1" applyBorder="1" applyAlignment="1" applyProtection="1">
      <alignment horizontal="left" vertical="center" wrapText="1"/>
      <protection locked="0"/>
    </xf>
    <xf numFmtId="1" fontId="16" fillId="6" borderId="8" xfId="0" applyNumberFormat="1" applyFont="1" applyFill="1" applyBorder="1" applyAlignment="1" applyProtection="1">
      <alignment horizontal="center" vertical="center" wrapText="1"/>
      <protection locked="0"/>
    </xf>
    <xf numFmtId="1" fontId="16" fillId="6" borderId="10" xfId="0" applyNumberFormat="1" applyFont="1" applyFill="1" applyBorder="1" applyAlignment="1" applyProtection="1">
      <alignment horizontal="center" vertical="center" wrapText="1"/>
      <protection locked="0"/>
    </xf>
    <xf numFmtId="1" fontId="28" fillId="6" borderId="8" xfId="0" applyNumberFormat="1" applyFont="1" applyFill="1" applyBorder="1" applyAlignment="1" applyProtection="1">
      <alignment horizontal="center" vertical="center" wrapText="1"/>
      <protection locked="0"/>
    </xf>
    <xf numFmtId="1" fontId="28" fillId="6" borderId="10" xfId="0" applyNumberFormat="1" applyFont="1" applyFill="1" applyBorder="1" applyAlignment="1" applyProtection="1">
      <alignment horizontal="center" vertical="center" wrapText="1"/>
      <protection locked="0"/>
    </xf>
    <xf numFmtId="1" fontId="21" fillId="6" borderId="11" xfId="0" applyNumberFormat="1" applyFont="1" applyFill="1" applyBorder="1" applyAlignment="1" applyProtection="1">
      <alignment horizontal="center" vertical="center" wrapText="1"/>
      <protection locked="0"/>
    </xf>
    <xf numFmtId="1" fontId="21" fillId="6" borderId="49" xfId="0" applyNumberFormat="1" applyFont="1" applyFill="1" applyBorder="1" applyAlignment="1" applyProtection="1">
      <alignment horizontal="center" vertical="center" wrapText="1"/>
      <protection locked="0"/>
    </xf>
    <xf numFmtId="0" fontId="13" fillId="6" borderId="31" xfId="0" applyFont="1" applyFill="1" applyBorder="1" applyAlignment="1" applyProtection="1">
      <alignment horizontal="center" vertical="center"/>
      <protection locked="0"/>
    </xf>
    <xf numFmtId="0" fontId="9" fillId="6" borderId="31" xfId="0" applyFont="1" applyFill="1" applyBorder="1" applyAlignment="1" applyProtection="1">
      <alignment horizontal="center" vertical="center" wrapText="1"/>
      <protection locked="0"/>
    </xf>
    <xf numFmtId="0" fontId="9" fillId="6" borderId="32" xfId="0" applyFont="1" applyFill="1" applyBorder="1" applyAlignment="1" applyProtection="1">
      <alignment horizontal="center" vertical="center" wrapText="1"/>
      <protection locked="0"/>
    </xf>
    <xf numFmtId="1" fontId="9" fillId="6" borderId="31" xfId="0" applyNumberFormat="1" applyFont="1" applyFill="1" applyBorder="1" applyAlignment="1" applyProtection="1">
      <alignment horizontal="center" vertical="center" wrapText="1"/>
      <protection locked="0"/>
    </xf>
    <xf numFmtId="1" fontId="9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1" fillId="9" borderId="31" xfId="0" applyFont="1" applyFill="1" applyBorder="1" applyAlignment="1" applyProtection="1">
      <alignment horizontal="center" vertical="center" wrapText="1"/>
      <protection locked="0"/>
    </xf>
    <xf numFmtId="0" fontId="11" fillId="9" borderId="32" xfId="0" applyFont="1" applyFill="1" applyBorder="1" applyAlignment="1" applyProtection="1">
      <alignment horizontal="center" vertical="center" wrapText="1"/>
      <protection locked="0"/>
    </xf>
    <xf numFmtId="0" fontId="25" fillId="10" borderId="5" xfId="0" applyFont="1" applyFill="1" applyBorder="1" applyAlignment="1" applyProtection="1">
      <alignment horizontal="center" vertical="center" wrapText="1"/>
      <protection locked="0"/>
    </xf>
    <xf numFmtId="0" fontId="25" fillId="10" borderId="7" xfId="0" applyFont="1" applyFill="1" applyBorder="1" applyAlignment="1" applyProtection="1">
      <alignment horizontal="center" vertical="center" wrapText="1"/>
      <protection locked="0"/>
    </xf>
    <xf numFmtId="0" fontId="25" fillId="10" borderId="6" xfId="0" applyFont="1" applyFill="1" applyBorder="1" applyAlignment="1" applyProtection="1">
      <alignment horizontal="center" vertical="center" wrapText="1"/>
      <protection locked="0"/>
    </xf>
    <xf numFmtId="0" fontId="22" fillId="10" borderId="8" xfId="0" applyFont="1" applyFill="1" applyBorder="1" applyAlignment="1" applyProtection="1">
      <alignment horizontal="center" vertical="center" wrapText="1"/>
      <protection locked="0"/>
    </xf>
    <xf numFmtId="0" fontId="22" fillId="10" borderId="9" xfId="0" applyFont="1" applyFill="1" applyBorder="1" applyAlignment="1" applyProtection="1">
      <alignment horizontal="center" vertical="center" wrapText="1"/>
      <protection locked="0"/>
    </xf>
    <xf numFmtId="0" fontId="22" fillId="10" borderId="10" xfId="0" applyFont="1" applyFill="1" applyBorder="1" applyAlignment="1" applyProtection="1">
      <alignment horizontal="center" vertical="center" wrapText="1"/>
      <protection locked="0"/>
    </xf>
    <xf numFmtId="0" fontId="22" fillId="10" borderId="48" xfId="0" applyFont="1" applyFill="1" applyBorder="1" applyAlignment="1" applyProtection="1">
      <alignment horizontal="center" vertical="center" wrapText="1"/>
      <protection locked="0"/>
    </xf>
    <xf numFmtId="0" fontId="22" fillId="10" borderId="0" xfId="0" applyFont="1" applyFill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>
      <alignment horizontal="center" vertical="center" wrapText="1"/>
    </xf>
    <xf numFmtId="0" fontId="18" fillId="10" borderId="8" xfId="0" quotePrefix="1" applyFont="1" applyFill="1" applyBorder="1" applyAlignment="1" applyProtection="1">
      <alignment horizontal="left" vertical="center" wrapText="1"/>
      <protection locked="0"/>
    </xf>
    <xf numFmtId="1" fontId="18" fillId="10" borderId="8" xfId="0" applyNumberFormat="1" applyFont="1" applyFill="1" applyBorder="1" applyAlignment="1" applyProtection="1">
      <alignment horizontal="center" vertical="center" wrapText="1"/>
      <protection locked="0"/>
    </xf>
    <xf numFmtId="1" fontId="18" fillId="10" borderId="10" xfId="0" applyNumberFormat="1" applyFont="1" applyFill="1" applyBorder="1" applyAlignment="1" applyProtection="1">
      <alignment horizontal="center" vertical="center" wrapText="1"/>
      <protection locked="0"/>
    </xf>
    <xf numFmtId="1" fontId="22" fillId="10" borderId="8" xfId="0" applyNumberFormat="1" applyFont="1" applyFill="1" applyBorder="1" applyAlignment="1" applyProtection="1">
      <alignment horizontal="center" vertical="center" wrapText="1"/>
      <protection locked="0"/>
    </xf>
    <xf numFmtId="1" fontId="22" fillId="10" borderId="10" xfId="0" applyNumberFormat="1" applyFont="1" applyFill="1" applyBorder="1" applyAlignment="1" applyProtection="1">
      <alignment horizontal="center" vertical="center" wrapText="1"/>
      <protection locked="0"/>
    </xf>
    <xf numFmtId="0" fontId="18" fillId="10" borderId="9" xfId="0" quotePrefix="1" applyFont="1" applyFill="1" applyBorder="1" applyAlignment="1" applyProtection="1">
      <alignment horizontal="left" vertical="center" wrapText="1"/>
      <protection locked="0"/>
    </xf>
    <xf numFmtId="1" fontId="18" fillId="10" borderId="8" xfId="0" applyNumberFormat="1" applyFont="1" applyFill="1" applyBorder="1" applyAlignment="1" applyProtection="1">
      <alignment horizontal="left" vertical="center" wrapText="1"/>
      <protection locked="0"/>
    </xf>
    <xf numFmtId="1" fontId="16" fillId="10" borderId="10" xfId="0" applyNumberFormat="1" applyFont="1" applyFill="1" applyBorder="1" applyAlignment="1" applyProtection="1">
      <alignment horizontal="left" vertical="center" wrapText="1"/>
      <protection locked="0"/>
    </xf>
    <xf numFmtId="0" fontId="16" fillId="10" borderId="10" xfId="0" applyFont="1" applyFill="1" applyBorder="1" applyAlignment="1">
      <alignment horizontal="left" vertical="center" wrapText="1"/>
    </xf>
    <xf numFmtId="0" fontId="16" fillId="10" borderId="9" xfId="0" applyFont="1" applyFill="1" applyBorder="1" applyAlignment="1">
      <alignment horizontal="left" vertical="center" wrapText="1"/>
    </xf>
    <xf numFmtId="0" fontId="18" fillId="12" borderId="8" xfId="0" quotePrefix="1" applyFont="1" applyFill="1" applyBorder="1" applyAlignment="1" applyProtection="1">
      <alignment horizontal="left" vertical="center" wrapText="1"/>
      <protection locked="0"/>
    </xf>
    <xf numFmtId="0" fontId="18" fillId="12" borderId="9" xfId="0" quotePrefix="1" applyFont="1" applyFill="1" applyBorder="1" applyAlignment="1" applyProtection="1">
      <alignment horizontal="left" vertical="center" wrapText="1"/>
      <protection locked="0"/>
    </xf>
    <xf numFmtId="0" fontId="18" fillId="12" borderId="10" xfId="0" applyFont="1" applyFill="1" applyBorder="1" applyAlignment="1" applyProtection="1">
      <alignment horizontal="left" vertical="center" wrapText="1"/>
      <protection locked="0"/>
    </xf>
    <xf numFmtId="0" fontId="16" fillId="12" borderId="8" xfId="0" quotePrefix="1" applyFont="1" applyFill="1" applyBorder="1" applyAlignment="1">
      <alignment horizontal="left" vertical="center" wrapText="1"/>
    </xf>
    <xf numFmtId="0" fontId="16" fillId="12" borderId="9" xfId="0" quotePrefix="1" applyFont="1" applyFill="1" applyBorder="1" applyAlignment="1">
      <alignment horizontal="left" vertical="center" wrapText="1"/>
    </xf>
    <xf numFmtId="0" fontId="16" fillId="12" borderId="10" xfId="0" applyFont="1" applyFill="1" applyBorder="1" applyAlignment="1">
      <alignment horizontal="left" vertical="center" wrapText="1"/>
    </xf>
    <xf numFmtId="1" fontId="21" fillId="12" borderId="8" xfId="0" applyNumberFormat="1" applyFont="1" applyFill="1" applyBorder="1" applyAlignment="1" applyProtection="1">
      <alignment horizontal="center" vertical="center" wrapText="1"/>
      <protection locked="0"/>
    </xf>
    <xf numFmtId="1" fontId="21" fillId="12" borderId="9" xfId="0" applyNumberFormat="1" applyFont="1" applyFill="1" applyBorder="1" applyAlignment="1" applyProtection="1">
      <alignment horizontal="center" vertical="center" wrapText="1"/>
      <protection locked="0"/>
    </xf>
    <xf numFmtId="1" fontId="21" fillId="12" borderId="10" xfId="0" applyNumberFormat="1" applyFont="1" applyFill="1" applyBorder="1" applyAlignment="1" applyProtection="1">
      <alignment horizontal="center" vertical="center" wrapText="1"/>
      <protection locked="0"/>
    </xf>
    <xf numFmtId="0" fontId="19" fillId="12" borderId="8" xfId="0" applyFont="1" applyFill="1" applyBorder="1" applyAlignment="1" applyProtection="1">
      <alignment horizontal="center" vertical="center" wrapText="1"/>
      <protection locked="0"/>
    </xf>
    <xf numFmtId="0" fontId="19" fillId="12" borderId="9" xfId="0" applyFont="1" applyFill="1" applyBorder="1" applyAlignment="1" applyProtection="1">
      <alignment horizontal="center" vertical="center" wrapText="1"/>
      <protection locked="0"/>
    </xf>
    <xf numFmtId="0" fontId="19" fillId="12" borderId="10" xfId="0" applyFont="1" applyFill="1" applyBorder="1" applyAlignment="1" applyProtection="1">
      <alignment horizontal="center" vertical="center" wrapText="1"/>
      <protection locked="0"/>
    </xf>
    <xf numFmtId="0" fontId="18" fillId="10" borderId="10" xfId="0" quotePrefix="1" applyFont="1" applyFill="1" applyBorder="1" applyAlignment="1" applyProtection="1">
      <alignment horizontal="left" vertical="center" wrapText="1"/>
      <protection locked="0"/>
    </xf>
    <xf numFmtId="9" fontId="28" fillId="12" borderId="8" xfId="0" applyNumberFormat="1" applyFont="1" applyFill="1" applyBorder="1" applyAlignment="1" applyProtection="1">
      <alignment horizontal="center" vertical="center" wrapText="1"/>
      <protection locked="0"/>
    </xf>
    <xf numFmtId="9" fontId="28" fillId="12" borderId="9" xfId="0" applyNumberFormat="1" applyFont="1" applyFill="1" applyBorder="1" applyAlignment="1" applyProtection="1">
      <alignment horizontal="center" vertical="center" wrapText="1"/>
      <protection locked="0"/>
    </xf>
    <xf numFmtId="9" fontId="28" fillId="12" borderId="10" xfId="0" applyNumberFormat="1" applyFont="1" applyFill="1" applyBorder="1" applyAlignment="1" applyProtection="1">
      <alignment horizontal="center" vertical="center" wrapText="1"/>
      <protection locked="0"/>
    </xf>
    <xf numFmtId="0" fontId="18" fillId="12" borderId="48" xfId="0" applyFont="1" applyFill="1" applyBorder="1" applyAlignment="1" applyProtection="1">
      <alignment horizontal="center" vertical="center" wrapText="1"/>
      <protection locked="0"/>
    </xf>
    <xf numFmtId="0" fontId="18" fillId="12" borderId="0" xfId="0" applyFont="1" applyFill="1" applyAlignment="1" applyProtection="1">
      <alignment horizontal="center" vertical="center" wrapText="1"/>
      <protection locked="0"/>
    </xf>
    <xf numFmtId="0" fontId="18" fillId="12" borderId="36" xfId="0" applyFont="1" applyFill="1" applyBorder="1" applyAlignment="1" applyProtection="1">
      <alignment horizontal="center" vertical="center" wrapText="1"/>
      <protection locked="0"/>
    </xf>
    <xf numFmtId="0" fontId="18" fillId="12" borderId="8" xfId="0" applyFont="1" applyFill="1" applyBorder="1" applyAlignment="1" applyProtection="1">
      <alignment horizontal="center" vertical="center" wrapText="1"/>
      <protection locked="0"/>
    </xf>
    <xf numFmtId="0" fontId="18" fillId="12" borderId="9" xfId="0" applyFont="1" applyFill="1" applyBorder="1" applyAlignment="1" applyProtection="1">
      <alignment horizontal="center" vertical="center" wrapText="1"/>
      <protection locked="0"/>
    </xf>
    <xf numFmtId="0" fontId="18" fillId="12" borderId="10" xfId="0" applyFont="1" applyFill="1" applyBorder="1" applyAlignment="1" applyProtection="1">
      <alignment horizontal="center" vertical="center" wrapText="1"/>
      <protection locked="0"/>
    </xf>
    <xf numFmtId="0" fontId="19" fillId="12" borderId="5" xfId="0" applyFont="1" applyFill="1" applyBorder="1" applyAlignment="1" applyProtection="1">
      <alignment horizontal="center" vertical="center" wrapText="1"/>
      <protection locked="0"/>
    </xf>
    <xf numFmtId="0" fontId="19" fillId="12" borderId="7" xfId="0" applyFont="1" applyFill="1" applyBorder="1" applyAlignment="1" applyProtection="1">
      <alignment horizontal="center" vertical="center" wrapText="1"/>
      <protection locked="0"/>
    </xf>
    <xf numFmtId="0" fontId="19" fillId="12" borderId="6" xfId="0" applyFont="1" applyFill="1" applyBorder="1" applyAlignment="1" applyProtection="1">
      <alignment horizontal="center" vertical="center" wrapText="1"/>
      <protection locked="0"/>
    </xf>
    <xf numFmtId="1" fontId="16" fillId="12" borderId="8" xfId="0" applyNumberFormat="1" applyFont="1" applyFill="1" applyBorder="1" applyAlignment="1" applyProtection="1">
      <alignment horizontal="center" vertical="center" wrapText="1"/>
      <protection locked="0"/>
    </xf>
    <xf numFmtId="1" fontId="16" fillId="12" borderId="9" xfId="0" applyNumberFormat="1" applyFont="1" applyFill="1" applyBorder="1" applyAlignment="1" applyProtection="1">
      <alignment horizontal="center" vertical="center" wrapText="1"/>
      <protection locked="0"/>
    </xf>
    <xf numFmtId="1" fontId="16" fillId="12" borderId="10" xfId="0" applyNumberFormat="1" applyFont="1" applyFill="1" applyBorder="1" applyAlignment="1" applyProtection="1">
      <alignment horizontal="center" vertical="center" wrapText="1"/>
      <protection locked="0"/>
    </xf>
    <xf numFmtId="0" fontId="18" fillId="13" borderId="8" xfId="0" quotePrefix="1" applyFont="1" applyFill="1" applyBorder="1" applyAlignment="1" applyProtection="1">
      <alignment horizontal="left" vertical="center" wrapText="1"/>
      <protection locked="0"/>
    </xf>
    <xf numFmtId="0" fontId="18" fillId="13" borderId="10" xfId="0" quotePrefix="1" applyFont="1" applyFill="1" applyBorder="1" applyAlignment="1" applyProtection="1">
      <alignment horizontal="left" vertical="center" wrapText="1"/>
      <protection locked="0"/>
    </xf>
    <xf numFmtId="0" fontId="2" fillId="13" borderId="8" xfId="0" applyFont="1" applyFill="1" applyBorder="1" applyAlignment="1" applyProtection="1">
      <alignment horizontal="center" vertical="center"/>
      <protection locked="0"/>
    </xf>
    <xf numFmtId="0" fontId="2" fillId="13" borderId="10" xfId="0" applyFont="1" applyFill="1" applyBorder="1" applyAlignment="1" applyProtection="1">
      <alignment horizontal="center" vertical="center"/>
      <protection locked="0"/>
    </xf>
    <xf numFmtId="9" fontId="0" fillId="13" borderId="51" xfId="0" applyNumberFormat="1" applyFill="1" applyBorder="1" applyAlignment="1" applyProtection="1">
      <alignment horizontal="center" vertical="center" wrapText="1"/>
      <protection locked="0"/>
    </xf>
    <xf numFmtId="9" fontId="0" fillId="13" borderId="52" xfId="0" applyNumberFormat="1" applyFill="1" applyBorder="1" applyAlignment="1" applyProtection="1">
      <alignment horizontal="center" vertical="center" wrapText="1"/>
      <protection locked="0"/>
    </xf>
    <xf numFmtId="0" fontId="18" fillId="13" borderId="53" xfId="0" applyFont="1" applyFill="1" applyBorder="1" applyAlignment="1" applyProtection="1">
      <alignment horizontal="center" vertical="center" wrapText="1"/>
      <protection locked="0"/>
    </xf>
    <xf numFmtId="0" fontId="18" fillId="13" borderId="54" xfId="0" applyFont="1" applyFill="1" applyBorder="1" applyAlignment="1" applyProtection="1">
      <alignment horizontal="center" vertical="center" wrapText="1"/>
      <protection locked="0"/>
    </xf>
    <xf numFmtId="1" fontId="16" fillId="13" borderId="10" xfId="0" quotePrefix="1" applyNumberFormat="1" applyFont="1" applyFill="1" applyBorder="1" applyAlignment="1" applyProtection="1">
      <alignment horizontal="left" vertical="center" wrapText="1"/>
      <protection locked="0"/>
    </xf>
    <xf numFmtId="0" fontId="19" fillId="13" borderId="8" xfId="0" applyFont="1" applyFill="1" applyBorder="1" applyAlignment="1" applyProtection="1">
      <alignment horizontal="center" vertical="center" wrapText="1"/>
      <protection locked="0"/>
    </xf>
    <xf numFmtId="0" fontId="19" fillId="13" borderId="10" xfId="0" applyFont="1" applyFill="1" applyBorder="1" applyAlignment="1" applyProtection="1">
      <alignment horizontal="center" vertical="center" wrapText="1"/>
      <protection locked="0"/>
    </xf>
    <xf numFmtId="1" fontId="28" fillId="10" borderId="9" xfId="0" applyNumberFormat="1" applyFont="1" applyFill="1" applyBorder="1" applyAlignment="1" applyProtection="1">
      <alignment horizontal="center" vertical="center" wrapText="1"/>
      <protection locked="0"/>
    </xf>
    <xf numFmtId="0" fontId="19" fillId="10" borderId="8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 applyProtection="1">
      <alignment horizontal="center" vertical="center" wrapText="1"/>
      <protection locked="0"/>
    </xf>
    <xf numFmtId="0" fontId="18" fillId="3" borderId="9" xfId="0" applyFont="1" applyFill="1" applyBorder="1" applyAlignment="1" applyProtection="1">
      <alignment horizontal="center" vertical="center" wrapText="1"/>
      <protection locked="0"/>
    </xf>
    <xf numFmtId="0" fontId="18" fillId="3" borderId="10" xfId="0" applyFont="1" applyFill="1" applyBorder="1" applyAlignment="1" applyProtection="1">
      <alignment horizontal="center" vertical="center" wrapText="1"/>
      <protection locked="0"/>
    </xf>
    <xf numFmtId="0" fontId="19" fillId="13" borderId="8" xfId="0" quotePrefix="1" applyFont="1" applyFill="1" applyBorder="1" applyAlignment="1">
      <alignment horizontal="left" vertical="center" wrapText="1"/>
    </xf>
    <xf numFmtId="0" fontId="19" fillId="13" borderId="10" xfId="0" quotePrefix="1" applyFont="1" applyFill="1" applyBorder="1" applyAlignment="1">
      <alignment horizontal="left" vertical="center" wrapText="1"/>
    </xf>
    <xf numFmtId="0" fontId="10" fillId="13" borderId="8" xfId="0" quotePrefix="1" applyFont="1" applyFill="1" applyBorder="1" applyAlignment="1" applyProtection="1">
      <alignment horizontal="left" vertical="center" wrapText="1"/>
      <protection locked="0"/>
    </xf>
    <xf numFmtId="0" fontId="10" fillId="13" borderId="10" xfId="0" quotePrefix="1" applyFont="1" applyFill="1" applyBorder="1" applyAlignment="1" applyProtection="1">
      <alignment horizontal="left" vertical="center" wrapText="1"/>
      <protection locked="0"/>
    </xf>
    <xf numFmtId="0" fontId="2" fillId="12" borderId="8" xfId="0" applyFont="1" applyFill="1" applyBorder="1" applyAlignment="1" applyProtection="1">
      <alignment horizontal="center" vertical="center"/>
      <protection locked="0"/>
    </xf>
    <xf numFmtId="0" fontId="2" fillId="12" borderId="9" xfId="0" applyFont="1" applyFill="1" applyBorder="1" applyAlignment="1" applyProtection="1">
      <alignment horizontal="center" vertical="center"/>
      <protection locked="0"/>
    </xf>
    <xf numFmtId="0" fontId="2" fillId="12" borderId="10" xfId="0" applyFont="1" applyFill="1" applyBorder="1" applyAlignment="1" applyProtection="1">
      <alignment horizontal="center" vertical="center"/>
      <protection locked="0"/>
    </xf>
    <xf numFmtId="9" fontId="0" fillId="12" borderId="8" xfId="0" applyNumberFormat="1" applyFill="1" applyBorder="1" applyAlignment="1" applyProtection="1">
      <alignment horizontal="center" vertical="center"/>
      <protection locked="0"/>
    </xf>
    <xf numFmtId="9" fontId="0" fillId="12" borderId="9" xfId="0" applyNumberFormat="1" applyFill="1" applyBorder="1" applyAlignment="1" applyProtection="1">
      <alignment horizontal="center" vertical="center"/>
      <protection locked="0"/>
    </xf>
    <xf numFmtId="9" fontId="0" fillId="12" borderId="10" xfId="0" applyNumberFormat="1" applyFill="1" applyBorder="1" applyAlignment="1" applyProtection="1">
      <alignment horizontal="center" vertical="center"/>
      <protection locked="0"/>
    </xf>
    <xf numFmtId="0" fontId="19" fillId="12" borderId="8" xfId="0" quotePrefix="1" applyFont="1" applyFill="1" applyBorder="1" applyAlignment="1" applyProtection="1">
      <alignment horizontal="left" vertical="center" wrapText="1"/>
      <protection locked="0"/>
    </xf>
    <xf numFmtId="0" fontId="19" fillId="12" borderId="9" xfId="0" applyFont="1" applyFill="1" applyBorder="1" applyAlignment="1" applyProtection="1">
      <alignment horizontal="left" vertical="center" wrapText="1"/>
      <protection locked="0"/>
    </xf>
    <xf numFmtId="0" fontId="19" fillId="12" borderId="10" xfId="0" applyFont="1" applyFill="1" applyBorder="1" applyAlignment="1" applyProtection="1">
      <alignment horizontal="left" vertical="center" wrapText="1"/>
      <protection locked="0"/>
    </xf>
    <xf numFmtId="0" fontId="16" fillId="12" borderId="9" xfId="0" applyFont="1" applyFill="1" applyBorder="1" applyAlignment="1">
      <alignment horizontal="left" vertical="center" wrapText="1"/>
    </xf>
    <xf numFmtId="0" fontId="18" fillId="12" borderId="9" xfId="0" applyFont="1" applyFill="1" applyBorder="1" applyAlignment="1" applyProtection="1">
      <alignment horizontal="left" vertical="center" wrapText="1"/>
      <protection locked="0"/>
    </xf>
    <xf numFmtId="0" fontId="27" fillId="10" borderId="5" xfId="0" applyFont="1" applyFill="1" applyBorder="1" applyAlignment="1" applyProtection="1">
      <alignment horizontal="center" vertical="center" wrapText="1"/>
      <protection locked="0"/>
    </xf>
    <xf numFmtId="0" fontId="27" fillId="10" borderId="7" xfId="0" applyFont="1" applyFill="1" applyBorder="1" applyAlignment="1" applyProtection="1">
      <alignment horizontal="center" vertical="center" wrapText="1"/>
      <protection locked="0"/>
    </xf>
    <xf numFmtId="0" fontId="27" fillId="10" borderId="6" xfId="0" applyFont="1" applyFill="1" applyBorder="1" applyAlignment="1" applyProtection="1">
      <alignment horizontal="center" vertical="center" wrapText="1"/>
      <protection locked="0"/>
    </xf>
    <xf numFmtId="1" fontId="28" fillId="12" borderId="8" xfId="0" applyNumberFormat="1" applyFont="1" applyFill="1" applyBorder="1" applyAlignment="1" applyProtection="1">
      <alignment horizontal="center" vertical="center" wrapText="1"/>
      <protection locked="0"/>
    </xf>
    <xf numFmtId="1" fontId="28" fillId="12" borderId="7" xfId="0" applyNumberFormat="1" applyFont="1" applyFill="1" applyBorder="1" applyAlignment="1" applyProtection="1">
      <alignment horizontal="center" vertical="center" wrapText="1"/>
      <protection locked="0"/>
    </xf>
    <xf numFmtId="1" fontId="28" fillId="12" borderId="9" xfId="0" applyNumberFormat="1" applyFont="1" applyFill="1" applyBorder="1" applyAlignment="1" applyProtection="1">
      <alignment horizontal="center" vertical="center" wrapText="1"/>
      <protection locked="0"/>
    </xf>
    <xf numFmtId="1" fontId="28" fillId="12" borderId="10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78A97569-2A9F-4F3E-B618-D56234144635}"/>
  </tableStyles>
  <colors>
    <mruColors>
      <color rgb="FF57257D"/>
      <color rgb="FFECF0F8"/>
      <color rgb="FFFDF0E9"/>
      <color rgb="FFFFF4D5"/>
      <color rgb="FFE8D9F3"/>
      <color rgb="FF273E1A"/>
      <color rgb="FF182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2.safelinks.protection.outlook.com/?url=https%3A%2F%2Falumnossantotomas-my.sharepoint.com%2F%3Av%3A%2Fg%2Fpersonal%2Fbraulio_briones_alumnos_santotomas_cl%2FEaKl1gVbyRNLgZdqgPNyb7kB5NXEGyLDxfDlR57xYME62Q%3Fe%3D64tdDf&amp;data=05%7C01%7Camolinaru%40santotomas.cl%7Cb829320c0e4b41e6032c08da3a6138a2%7C3bb118c0bb1e441887e5d176550897cb%7C0%7C0%7C637886486488612578%7CUnknown%7CTWFpbGZsb3d8eyJWIjoiMC4wLjAwMDAiLCJQIjoiV2luMzIiLCJBTiI6Ik1haWwiLCJXVCI6Mn0%3D%7C3000%7C%7C%7C&amp;sdata=WkneZBrrO5nVghdLBOLFFbyaK88UlHyjFJsrcKi%2BvEs%3D&amp;reserved=0" TargetMode="External"/><Relationship Id="rId13" Type="http://schemas.openxmlformats.org/officeDocument/2006/relationships/hyperlink" Target="https://nam02.safelinks.protection.outlook.com/?url=https%3A%2F%2Falumnossantotomas-my.sharepoint.com%2F%3Av%3A%2Fg%2Fpersonal%2Fbraulio_briones_alumnos_santotomas_cl%2FEfqkD1qLGJJAu5kicLxtjUEBs7hQIJ6rKzzZD_zYq9m19g%3Fe%3DegW1Ow&amp;data=05%7C01%7Camolinaru%40santotomas.cl%7Cb829320c0e4b41e6032c08da3a6138a2%7C3bb118c0bb1e441887e5d176550897cb%7C0%7C0%7C637886486488768824%7CUnknown%7CTWFpbGZsb3d8eyJWIjoiMC4wLjAwMDAiLCJQIjoiV2luMzIiLCJBTiI6Ik1haWwiLCJXVCI6Mn0%3D%7C3000%7C%7C%7C&amp;sdata=oLpnXyT7Y4SLQiV2RM42xmpyIYNAH5ItyPpVvZgSC%2FE%3D&amp;reserved=0" TargetMode="External"/><Relationship Id="rId3" Type="http://schemas.openxmlformats.org/officeDocument/2006/relationships/hyperlink" Target="https://nam02.safelinks.protection.outlook.com/?url=https%3A%2F%2Falumnossantotomas-my.sharepoint.com%2F%3Av%3A%2Fg%2Fpersonal%2Fbraulio_briones_alumnos_santotomas_cl%2FEXSdyF5Of45IkgO6IVBWvIcBb-0jEQQCkSucFsKJaOefZQ%3Fe%3DqaCBCZ&amp;data=05%7C01%7Camolinaru%40santotomas.cl%7Cb829320c0e4b41e6032c08da3a6138a2%7C3bb118c0bb1e441887e5d176550897cb%7C0%7C0%7C637886486488768824%7CUnknown%7CTWFpbGZsb3d8eyJWIjoiMC4wLjAwMDAiLCJQIjoiV2luMzIiLCJBTiI6Ik1haWwiLCJXVCI6Mn0%3D%7C3000%7C%7C%7C&amp;sdata=6UQ%2FPEh4gPCpGqx4O8j0HFyttGztUQy5l7L0v5Vs3Jc%3D&amp;reserved=0" TargetMode="External"/><Relationship Id="rId7" Type="http://schemas.openxmlformats.org/officeDocument/2006/relationships/hyperlink" Target="https://nam02.safelinks.protection.outlook.com/?url=https%3A%2F%2Falumnossantotomas-my.sharepoint.com%2F%3Av%3A%2Fg%2Fpersonal%2Fbraulio_briones_alumnos_santotomas_cl%2FEf8bB52_kOVDl8CZtafl3ekBPa_ik242FAoDqCZlRoUdPQ%3Fe%3DSNdWI1&amp;data=05%7C01%7Camolinaru%40santotomas.cl%7Cb829320c0e4b41e6032c08da3a6138a2%7C3bb118c0bb1e441887e5d176550897cb%7C0%7C0%7C637886486488768824%7CUnknown%7CTWFpbGZsb3d8eyJWIjoiMC4wLjAwMDAiLCJQIjoiV2luMzIiLCJBTiI6Ik1haWwiLCJXVCI6Mn0%3D%7C3000%7C%7C%7C&amp;sdata=oxV7Nzt0hpR%2Bo4NJxWlqGGvtHTFo9MmaaOELj4gwOIA%3D&amp;reserved=0" TargetMode="External"/><Relationship Id="rId12" Type="http://schemas.openxmlformats.org/officeDocument/2006/relationships/hyperlink" Target="https://nam02.safelinks.protection.outlook.com/?url=https%3A%2F%2Falumnossantotomas-my.sharepoint.com%2F%3Av%3A%2Fg%2Fpersonal%2Fbraulio_briones_alumnos_santotomas_cl%2FETDMy1IUHGlEgLO7ilsPFRYBr3fhG0fKV36INFUDMwMlaA%3Fe%3DVgYflh&amp;data=05%7C01%7Camolinaru%40santotomas.cl%7Cb829320c0e4b41e6032c08da3a6138a2%7C3bb118c0bb1e441887e5d176550897cb%7C0%7C0%7C637886486488768824%7CUnknown%7CTWFpbGZsb3d8eyJWIjoiMC4wLjAwMDAiLCJQIjoiV2luMzIiLCJBTiI6Ik1haWwiLCJXVCI6Mn0%3D%7C3000%7C%7C%7C&amp;sdata=nR3qHYF%2B9%2FxzGjwjYm4zzEBS01AJ1xmlRAn4aiaKelE%3D&amp;reserved=0" TargetMode="External"/><Relationship Id="rId2" Type="http://schemas.openxmlformats.org/officeDocument/2006/relationships/hyperlink" Target="https://nam02.safelinks.protection.outlook.com/?url=https%3A%2F%2Falumnossantotomas-my.sharepoint.com%2F%3Av%3A%2Fg%2Fpersonal%2Fbraulio_briones_alumnos_santotomas_cl%2FEYQgWgCZMM5Nt6OxYckclgsBM2ZsRGYmWzRRjp9xYFWgPg%3Fe%3DUAQRL2&amp;data=05%7C01%7Camolinaru%40santotomas.cl%7Cb829320c0e4b41e6032c08da3a6138a2%7C3bb118c0bb1e441887e5d176550897cb%7C0%7C0%7C637886486488612578%7CUnknown%7CTWFpbGZsb3d8eyJWIjoiMC4wLjAwMDAiLCJQIjoiV2luMzIiLCJBTiI6Ik1haWwiLCJXVCI6Mn0%3D%7C3000%7C%7C%7C&amp;sdata=JOAjYIAJHdXr2wjaviKAcyAW%2BQQWcasBGevsfHvI28c%3D&amp;reserved=0" TargetMode="External"/><Relationship Id="rId1" Type="http://schemas.openxmlformats.org/officeDocument/2006/relationships/hyperlink" Target="https://nam02.safelinks.protection.outlook.com/?url=https%3A%2F%2Falumnossantotomas-my.sharepoint.com%2F%3Av%3A%2Fg%2Fpersonal%2Fbraulio_briones_alumnos_santotomas_cl%2FEbUXzfbhUKVHijO8r5xzFeoBFDauiYwT3HKBx2Nf83Ax7g%3Fe%3D4okcnB&amp;data=05%7C01%7Camolinaru%40santotomas.cl%7Cb829320c0e4b41e6032c08da3a6138a2%7C3bb118c0bb1e441887e5d176550897cb%7C0%7C0%7C637886486488612578%7CUnknown%7CTWFpbGZsb3d8eyJWIjoiMC4wLjAwMDAiLCJQIjoiV2luMzIiLCJBTiI6Ik1haWwiLCJXVCI6Mn0%3D%7C3000%7C%7C%7C&amp;sdata=JNPCKQqiWBJ0UMavnVaXe760woDzSa9S79%2Bo1f5UKBg%3D&amp;reserved=0" TargetMode="External"/><Relationship Id="rId6" Type="http://schemas.openxmlformats.org/officeDocument/2006/relationships/hyperlink" Target="https://nam02.safelinks.protection.outlook.com/?url=https%3A%2F%2Falumnossantotomas-my.sharepoint.com%2F%3Av%3A%2Fg%2Fpersonal%2Fbraulio_briones_alumnos_santotomas_cl%2FEecpFUYDz-ZLnxlADXRoLOcBiEMQUhOr6XmcmY03mHMaoQ%3Fe%3DqSGXBl&amp;data=05%7C01%7Camolinaru%40santotomas.cl%7Cb829320c0e4b41e6032c08da3a6138a2%7C3bb118c0bb1e441887e5d176550897cb%7C0%7C0%7C637886486488768824%7CUnknown%7CTWFpbGZsb3d8eyJWIjoiMC4wLjAwMDAiLCJQIjoiV2luMzIiLCJBTiI6Ik1haWwiLCJXVCI6Mn0%3D%7C3000%7C%7C%7C&amp;sdata=DJHpeqfGTPy0GBpXqCLr48kTex9iaHqYqGK7GjWeTqA%3D&amp;reserved=0" TargetMode="External"/><Relationship Id="rId11" Type="http://schemas.openxmlformats.org/officeDocument/2006/relationships/hyperlink" Target="https://nam02.safelinks.protection.outlook.com/?url=https%3A%2F%2Falumnossantotomas-my.sharepoint.com%2F%3Av%3A%2Fg%2Fpersonal%2Fbraulio_briones_alumnos_santotomas_cl%2FEfYYd6PBc_dDukDkKf3e15cBQ3FAJUgSmpv4SVmNnjdxRg%3Fe%3Dwowhrh&amp;data=05%7C01%7Camolinaru%40santotomas.cl%7Cb829320c0e4b41e6032c08da3a6138a2%7C3bb118c0bb1e441887e5d176550897cb%7C0%7C0%7C637886486488768824%7CUnknown%7CTWFpbGZsb3d8eyJWIjoiMC4wLjAwMDAiLCJQIjoiV2luMzIiLCJBTiI6Ik1haWwiLCJXVCI6Mn0%3D%7C3000%7C%7C%7C&amp;sdata=pteNQYWv7AqFzKAkznkEC2AughTvMFTCgdnkSD3i9ow%3D&amp;reserved=0" TargetMode="External"/><Relationship Id="rId5" Type="http://schemas.openxmlformats.org/officeDocument/2006/relationships/hyperlink" Target="https://nam02.safelinks.protection.outlook.com/?url=https%3A%2F%2Falumnossantotomas-my.sharepoint.com%2F%3Av%3A%2Fg%2Fpersonal%2Fbraulio_briones_alumnos_santotomas_cl%2FEc_Loc_9imVFgQI195M5e0EBNXG13qnl8A0YH8g8DzO1WA%3Fe%3DCjEisy&amp;data=05%7C01%7Camolinaru%40santotomas.cl%7Cb829320c0e4b41e6032c08da3a6138a2%7C3bb118c0bb1e441887e5d176550897cb%7C0%7C0%7C637886486488768824%7CUnknown%7CTWFpbGZsb3d8eyJWIjoiMC4wLjAwMDAiLCJQIjoiV2luMzIiLCJBTiI6Ik1haWwiLCJXVCI6Mn0%3D%7C3000%7C%7C%7C&amp;sdata=A0y%2BNjjpIrxQ8m9pu8%2FxB08V6y%2FRyAyrxEENSngJi6o%3D&amp;reserved=0" TargetMode="External"/><Relationship Id="rId10" Type="http://schemas.openxmlformats.org/officeDocument/2006/relationships/hyperlink" Target="https://nam02.safelinks.protection.outlook.com/?url=https%3A%2F%2Falumnossantotomas-my.sharepoint.com%2F%3Av%3A%2Fg%2Fpersonal%2Fbraulio_briones_alumnos_santotomas_cl%2FEYUJCkyzXYFEr5ssnKMXSlQBtGu4FLSo2cVaeQmTHh3wgQ%3Fe%3D18XuhY&amp;data=05%7C01%7Camolinaru%40santotomas.cl%7Cb829320c0e4b41e6032c08da3a6138a2%7C3bb118c0bb1e441887e5d176550897cb%7C0%7C0%7C637886486488768824%7CUnknown%7CTWFpbGZsb3d8eyJWIjoiMC4wLjAwMDAiLCJQIjoiV2luMzIiLCJBTiI6Ik1haWwiLCJXVCI6Mn0%3D%7C3000%7C%7C%7C&amp;sdata=tZg7g4UUL7rJI2IMbRKXZpBEF99TdZw2Z1D0kFMAeL0%3D&amp;reserved=0" TargetMode="External"/><Relationship Id="rId4" Type="http://schemas.openxmlformats.org/officeDocument/2006/relationships/hyperlink" Target="https://nam02.safelinks.protection.outlook.com/?url=https%3A%2F%2Falumnossantotomas-my.sharepoint.com%2F%3Av%3A%2Fg%2Fpersonal%2Fbraulio_briones_alumnos_santotomas_cl%2FEcT0KPtuRS1NqnYq20rFie4Bh-TfdklWjeKGDxGR1cwpqA%3Fe%3DU3dVbC&amp;data=05%7C01%7Camolinaru%40santotomas.cl%7Cb829320c0e4b41e6032c08da3a6138a2%7C3bb118c0bb1e441887e5d176550897cb%7C0%7C0%7C637886486488768824%7CUnknown%7CTWFpbGZsb3d8eyJWIjoiMC4wLjAwMDAiLCJQIjoiV2luMzIiLCJBTiI6Ik1haWwiLCJXVCI6Mn0%3D%7C3000%7C%7C%7C&amp;sdata=tsXW7CjQhbS4Mi8n1kvgg4bwGEjgU0Wwwf1RNT4W%2FpE%3D&amp;reserved=0" TargetMode="External"/><Relationship Id="rId9" Type="http://schemas.openxmlformats.org/officeDocument/2006/relationships/hyperlink" Target="https://nam02.safelinks.protection.outlook.com/?url=https%3A%2F%2Falumnossantotomas-my.sharepoint.com%2F%3Av%3A%2Fg%2Fpersonal%2Fbraulio_briones_alumnos_santotomas_cl%2FERVzMJ2rUBtJvAZShcS-BEABaG9OJ06XoKQYKWs_KG7z0A%3Fe%3DbwRk1v&amp;data=05%7C01%7Camolinaru%40santotomas.cl%7Cb829320c0e4b41e6032c08da3a6138a2%7C3bb118c0bb1e441887e5d176550897cb%7C0%7C0%7C637886486488768824%7CUnknown%7CTWFpbGZsb3d8eyJWIjoiMC4wLjAwMDAiLCJQIjoiV2luMzIiLCJBTiI6Ik1haWwiLCJXVCI6Mn0%3D%7C3000%7C%7C%7C&amp;sdata=VFaGp%2F01tSWeiRRvney7cuS46zQPWPUbNDLuOEASS80%3D&amp;reserved=0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94B7-9F30-412B-9302-138609EB7698}">
  <sheetPr codeName="Hoja1">
    <tabColor theme="9" tint="-0.499984740745262"/>
  </sheetPr>
  <dimension ref="A1:AA218"/>
  <sheetViews>
    <sheetView zoomScaleNormal="100" workbookViewId="0">
      <selection activeCell="M5" sqref="M5"/>
    </sheetView>
  </sheetViews>
  <sheetFormatPr baseColWidth="10" defaultColWidth="11.42578125" defaultRowHeight="15" x14ac:dyDescent="0.25"/>
  <cols>
    <col min="1" max="1" width="22" customWidth="1"/>
    <col min="2" max="2" width="15.42578125" customWidth="1"/>
    <col min="3" max="3" width="17.42578125" customWidth="1"/>
    <col min="4" max="4" width="11.140625" customWidth="1"/>
    <col min="5" max="6" width="9" customWidth="1"/>
    <col min="7" max="7" width="9.140625" customWidth="1"/>
    <col min="8" max="8" width="8.7109375" customWidth="1"/>
    <col min="9" max="9" width="10.85546875" customWidth="1"/>
    <col min="10" max="10" width="9.28515625" customWidth="1"/>
    <col min="11" max="11" width="9.140625" customWidth="1"/>
    <col min="12" max="12" width="11.42578125" customWidth="1"/>
  </cols>
  <sheetData>
    <row r="1" spans="1:27" ht="24" customHeight="1" thickBot="1" x14ac:dyDescent="0.35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70"/>
      <c r="M1" s="7"/>
      <c r="N1" s="7"/>
      <c r="O1" s="7"/>
      <c r="P1" s="7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0.25" customHeight="1" thickBot="1" x14ac:dyDescent="0.3">
      <c r="A2" s="182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1" customFormat="1" ht="24.75" customHeight="1" x14ac:dyDescent="0.25">
      <c r="A3" s="10" t="s">
        <v>2</v>
      </c>
      <c r="B3" s="178" t="s">
        <v>3</v>
      </c>
      <c r="C3" s="178"/>
      <c r="D3" s="178" t="s">
        <v>4</v>
      </c>
      <c r="E3" s="178"/>
      <c r="F3" s="178"/>
      <c r="G3" s="178"/>
      <c r="H3" s="178"/>
      <c r="I3" s="178"/>
      <c r="J3" s="178"/>
      <c r="K3" s="178"/>
      <c r="L3" s="11" t="s">
        <v>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50.25" customHeight="1" x14ac:dyDescent="0.25">
      <c r="A4" s="5" t="s">
        <v>98</v>
      </c>
      <c r="B4" s="186" t="s">
        <v>133</v>
      </c>
      <c r="C4" s="187"/>
      <c r="D4" s="188" t="s">
        <v>130</v>
      </c>
      <c r="E4" s="188"/>
      <c r="F4" s="188"/>
      <c r="G4" s="188"/>
      <c r="H4" s="188"/>
      <c r="I4" s="188"/>
      <c r="J4" s="188"/>
      <c r="K4" s="188"/>
      <c r="L4" s="6" t="s">
        <v>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.75" customHeight="1" x14ac:dyDescent="0.25">
      <c r="A5" s="174" t="s">
        <v>7</v>
      </c>
      <c r="B5" s="175" t="s">
        <v>8</v>
      </c>
      <c r="C5" s="177" t="s">
        <v>9</v>
      </c>
      <c r="D5" s="165" t="s">
        <v>10</v>
      </c>
      <c r="E5" s="165"/>
      <c r="F5" s="165"/>
      <c r="G5" s="165"/>
      <c r="H5" s="165"/>
      <c r="I5" s="165"/>
      <c r="J5" s="165"/>
      <c r="K5" s="165"/>
      <c r="L5" s="18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1.75" customHeight="1" x14ac:dyDescent="0.25">
      <c r="A6" s="144"/>
      <c r="B6" s="176"/>
      <c r="C6" s="178"/>
      <c r="D6" s="154" t="s">
        <v>11</v>
      </c>
      <c r="E6" s="154" t="s">
        <v>12</v>
      </c>
      <c r="F6" s="154"/>
      <c r="G6" s="154"/>
      <c r="H6" s="159" t="s">
        <v>13</v>
      </c>
      <c r="I6" s="160"/>
      <c r="J6" s="160"/>
      <c r="K6" s="161"/>
      <c r="L6" s="179" t="s">
        <v>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 x14ac:dyDescent="0.25">
      <c r="A7" s="171" t="s">
        <v>181</v>
      </c>
      <c r="B7" s="191" t="s">
        <v>131</v>
      </c>
      <c r="C7" s="164">
        <v>2026</v>
      </c>
      <c r="D7" s="154"/>
      <c r="E7" s="155" t="s">
        <v>15</v>
      </c>
      <c r="F7" s="157" t="s">
        <v>16</v>
      </c>
      <c r="G7" s="157" t="s">
        <v>17</v>
      </c>
      <c r="H7" s="157" t="s">
        <v>18</v>
      </c>
      <c r="I7" s="162" t="s">
        <v>19</v>
      </c>
      <c r="J7" s="154" t="s">
        <v>20</v>
      </c>
      <c r="K7" s="154" t="s">
        <v>21</v>
      </c>
      <c r="L7" s="18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" customHeight="1" x14ac:dyDescent="0.25">
      <c r="A8" s="172"/>
      <c r="B8" s="192"/>
      <c r="C8" s="164"/>
      <c r="D8" s="154"/>
      <c r="E8" s="156"/>
      <c r="F8" s="158"/>
      <c r="G8" s="158"/>
      <c r="H8" s="158"/>
      <c r="I8" s="163"/>
      <c r="J8" s="154"/>
      <c r="K8" s="154"/>
      <c r="L8" s="18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173"/>
      <c r="B9" s="193"/>
      <c r="C9" s="164"/>
      <c r="D9" s="135">
        <v>6</v>
      </c>
      <c r="E9" s="135">
        <v>168</v>
      </c>
      <c r="F9" s="135">
        <v>96</v>
      </c>
      <c r="G9" s="135">
        <v>72</v>
      </c>
      <c r="H9" s="135">
        <v>72</v>
      </c>
      <c r="I9" s="135">
        <v>0</v>
      </c>
      <c r="J9" s="135">
        <v>0</v>
      </c>
      <c r="K9" s="135">
        <v>36</v>
      </c>
      <c r="L9" s="189">
        <v>108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4.75" customHeight="1" x14ac:dyDescent="0.25">
      <c r="A10" s="12" t="s">
        <v>22</v>
      </c>
      <c r="B10" s="165" t="s">
        <v>23</v>
      </c>
      <c r="C10" s="165"/>
      <c r="D10" s="136"/>
      <c r="E10" s="136"/>
      <c r="F10" s="136"/>
      <c r="G10" s="136"/>
      <c r="H10" s="136"/>
      <c r="I10" s="136"/>
      <c r="J10" s="136"/>
      <c r="K10" s="136"/>
      <c r="L10" s="19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9.45" customHeight="1" thickBot="1" x14ac:dyDescent="0.3">
      <c r="A11" s="17" t="s">
        <v>24</v>
      </c>
      <c r="B11" s="166" t="s">
        <v>99</v>
      </c>
      <c r="C11" s="167"/>
      <c r="D11" s="136"/>
      <c r="E11" s="137"/>
      <c r="F11" s="137"/>
      <c r="G11" s="137"/>
      <c r="H11" s="137"/>
      <c r="I11" s="136"/>
      <c r="J11" s="137"/>
      <c r="K11" s="136"/>
      <c r="L11" s="190"/>
      <c r="M11" s="3"/>
      <c r="N11" s="3"/>
      <c r="O11" s="3"/>
      <c r="P11" s="3"/>
      <c r="Q11" s="3"/>
      <c r="R11" s="16"/>
      <c r="S11" s="3"/>
      <c r="T11" s="3"/>
      <c r="U11" s="3"/>
      <c r="V11" s="3"/>
      <c r="W11" s="3"/>
      <c r="X11" s="3"/>
      <c r="Y11" s="3"/>
      <c r="Z11" s="3"/>
      <c r="AA11" s="3"/>
    </row>
    <row r="12" spans="1:27" ht="21" customHeight="1" thickBot="1" x14ac:dyDescent="0.3">
      <c r="A12" s="138" t="s">
        <v>25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4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5.5" customHeight="1" x14ac:dyDescent="0.25">
      <c r="A13" s="144" t="s">
        <v>26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6.75" customHeight="1" x14ac:dyDescent="0.25">
      <c r="A14" s="4">
        <v>1</v>
      </c>
      <c r="B14" s="130" t="s">
        <v>134</v>
      </c>
      <c r="C14" s="130"/>
      <c r="D14" s="130"/>
      <c r="E14" s="130"/>
      <c r="F14" s="130"/>
      <c r="G14" s="130"/>
      <c r="H14" s="130"/>
      <c r="I14" s="130"/>
      <c r="J14" s="130"/>
      <c r="K14" s="130"/>
      <c r="L14" s="13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9.25" customHeight="1" x14ac:dyDescent="0.25">
      <c r="A15" s="4">
        <v>2</v>
      </c>
      <c r="B15" s="147" t="s">
        <v>182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9.25" customHeight="1" x14ac:dyDescent="0.25">
      <c r="A16" s="9">
        <v>3</v>
      </c>
      <c r="B16" s="150" t="s">
        <v>183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8.1" customHeight="1" x14ac:dyDescent="0.25">
      <c r="A17" s="9">
        <v>4</v>
      </c>
      <c r="B17" s="153" t="s">
        <v>184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9.25" customHeight="1" x14ac:dyDescent="0.25">
      <c r="A18" s="9">
        <v>5</v>
      </c>
      <c r="B18" s="153" t="s">
        <v>135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37.5" customHeight="1" thickBot="1" x14ac:dyDescent="0.3">
      <c r="A19" s="9">
        <v>6</v>
      </c>
      <c r="B19" s="132" t="s">
        <v>136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4.75" customHeight="1" thickBot="1" x14ac:dyDescent="0.3">
      <c r="A20" s="141" t="s">
        <v>27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0" customHeight="1" x14ac:dyDescent="0.25">
      <c r="A21" s="18" t="s">
        <v>28</v>
      </c>
      <c r="B21" s="123" t="s">
        <v>29</v>
      </c>
      <c r="C21" s="124"/>
      <c r="D21" s="124"/>
      <c r="E21" s="124"/>
      <c r="F21" s="125"/>
      <c r="G21" s="123" t="s">
        <v>30</v>
      </c>
      <c r="H21" s="124"/>
      <c r="I21" s="124"/>
      <c r="J21" s="124"/>
      <c r="K21" s="125"/>
      <c r="L21" s="19" t="s">
        <v>31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51.75" customHeight="1" x14ac:dyDescent="0.25">
      <c r="A22" s="20" t="s">
        <v>110</v>
      </c>
      <c r="B22" s="126" t="s">
        <v>137</v>
      </c>
      <c r="C22" s="126"/>
      <c r="D22" s="126"/>
      <c r="E22" s="126"/>
      <c r="F22" s="126"/>
      <c r="G22" s="127" t="s">
        <v>85</v>
      </c>
      <c r="H22" s="128"/>
      <c r="I22" s="128"/>
      <c r="J22" s="128"/>
      <c r="K22" s="129"/>
      <c r="L22" s="21">
        <v>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75" customHeight="1" x14ac:dyDescent="0.25">
      <c r="A23" s="20" t="s">
        <v>111</v>
      </c>
      <c r="B23" s="126" t="s">
        <v>138</v>
      </c>
      <c r="C23" s="126"/>
      <c r="D23" s="126"/>
      <c r="E23" s="126"/>
      <c r="F23" s="126"/>
      <c r="G23" s="127" t="s">
        <v>170</v>
      </c>
      <c r="H23" s="128"/>
      <c r="I23" s="128"/>
      <c r="J23" s="128"/>
      <c r="K23" s="129"/>
      <c r="L23" s="21">
        <v>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53.25" customHeight="1" thickBot="1" x14ac:dyDescent="0.3">
      <c r="A24" s="20" t="s">
        <v>112</v>
      </c>
      <c r="B24" s="126" t="s">
        <v>139</v>
      </c>
      <c r="C24" s="126"/>
      <c r="D24" s="126"/>
      <c r="E24" s="126"/>
      <c r="F24" s="126"/>
      <c r="G24" s="127" t="s">
        <v>132</v>
      </c>
      <c r="H24" s="128"/>
      <c r="I24" s="128"/>
      <c r="J24" s="128"/>
      <c r="K24" s="129"/>
      <c r="L24" s="21">
        <v>28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4.75" customHeight="1" thickBot="1" x14ac:dyDescent="0.3">
      <c r="A25" s="36"/>
      <c r="B25" s="194" t="s">
        <v>100</v>
      </c>
      <c r="C25" s="194"/>
      <c r="D25" s="194"/>
      <c r="E25" s="194"/>
      <c r="F25" s="194"/>
      <c r="G25" s="194"/>
      <c r="H25" s="194"/>
      <c r="I25" s="194"/>
      <c r="J25" s="194"/>
      <c r="K25" s="194"/>
      <c r="L25" s="77">
        <v>2</v>
      </c>
    </row>
    <row r="26" spans="1:27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22" t="s">
        <v>32</v>
      </c>
      <c r="L26" s="23">
        <f>SUM(L22:L25)</f>
        <v>108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2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</sheetData>
  <mergeCells count="53">
    <mergeCell ref="B25:K25"/>
    <mergeCell ref="B23:F23"/>
    <mergeCell ref="B24:F24"/>
    <mergeCell ref="G23:K23"/>
    <mergeCell ref="G24:K24"/>
    <mergeCell ref="A1:L1"/>
    <mergeCell ref="A7:A9"/>
    <mergeCell ref="A5:A6"/>
    <mergeCell ref="B5:B6"/>
    <mergeCell ref="C5:C6"/>
    <mergeCell ref="L6:L8"/>
    <mergeCell ref="I9:I11"/>
    <mergeCell ref="K9:K11"/>
    <mergeCell ref="A2:L2"/>
    <mergeCell ref="B3:C3"/>
    <mergeCell ref="D3:K3"/>
    <mergeCell ref="D5:L5"/>
    <mergeCell ref="B4:C4"/>
    <mergeCell ref="D4:K4"/>
    <mergeCell ref="L9:L11"/>
    <mergeCell ref="B7:B9"/>
    <mergeCell ref="C7:C9"/>
    <mergeCell ref="B10:C10"/>
    <mergeCell ref="B11:C11"/>
    <mergeCell ref="D9:D11"/>
    <mergeCell ref="D6:D8"/>
    <mergeCell ref="E6:G6"/>
    <mergeCell ref="E7:E8"/>
    <mergeCell ref="F7:F8"/>
    <mergeCell ref="G7:G8"/>
    <mergeCell ref="H6:K6"/>
    <mergeCell ref="I7:I8"/>
    <mergeCell ref="K7:K8"/>
    <mergeCell ref="H7:H8"/>
    <mergeCell ref="J7:J8"/>
    <mergeCell ref="A12:L12"/>
    <mergeCell ref="A20:L20"/>
    <mergeCell ref="A13:L13"/>
    <mergeCell ref="B15:L15"/>
    <mergeCell ref="B16:L16"/>
    <mergeCell ref="B17:L17"/>
    <mergeCell ref="B18:L18"/>
    <mergeCell ref="E9:E11"/>
    <mergeCell ref="F9:F11"/>
    <mergeCell ref="G9:G11"/>
    <mergeCell ref="H9:H11"/>
    <mergeCell ref="J9:J11"/>
    <mergeCell ref="B21:F21"/>
    <mergeCell ref="G21:K21"/>
    <mergeCell ref="B22:F22"/>
    <mergeCell ref="G22:K22"/>
    <mergeCell ref="B14:L14"/>
    <mergeCell ref="B19:L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7AB5-0D77-4302-A4AF-D6A38B4BB253}">
  <sheetPr>
    <tabColor theme="9" tint="-0.249977111117893"/>
  </sheetPr>
  <dimension ref="A1:P39"/>
  <sheetViews>
    <sheetView showGridLines="0" tabSelected="1" zoomScale="80" zoomScaleNormal="80" zoomScaleSheetLayoutView="63" workbookViewId="0">
      <pane ySplit="3" topLeftCell="A20" activePane="bottomLeft" state="frozen"/>
      <selection pane="bottomLeft" activeCell="D9" sqref="D9:D14"/>
    </sheetView>
  </sheetViews>
  <sheetFormatPr baseColWidth="10" defaultColWidth="11.42578125" defaultRowHeight="15.75" x14ac:dyDescent="0.25"/>
  <cols>
    <col min="1" max="1" width="19.42578125" style="13" customWidth="1"/>
    <col min="2" max="2" width="23.7109375" style="13" customWidth="1"/>
    <col min="3" max="3" width="15.42578125" style="14" customWidth="1"/>
    <col min="4" max="4" width="47.42578125" style="13" customWidth="1"/>
    <col min="5" max="5" width="74.7109375" style="13" customWidth="1"/>
    <col min="6" max="6" width="10.7109375" style="13" customWidth="1"/>
    <col min="7" max="7" width="14.7109375" style="13" customWidth="1"/>
    <col min="8" max="8" width="11.7109375" style="13" customWidth="1"/>
    <col min="9" max="9" width="12.140625" style="13" customWidth="1"/>
    <col min="10" max="10" width="22.28515625" style="13" customWidth="1"/>
    <col min="11" max="11" width="22" style="13" customWidth="1"/>
    <col min="12" max="12" width="32.85546875" style="13" customWidth="1"/>
    <col min="13" max="13" width="25.85546875" style="13" customWidth="1"/>
    <col min="14" max="14" width="29.140625" style="13" customWidth="1"/>
    <col min="15" max="15" width="16.28515625" style="13" customWidth="1"/>
    <col min="16" max="16" width="40.85546875" style="13" customWidth="1"/>
    <col min="17" max="16384" width="11.42578125" style="13"/>
  </cols>
  <sheetData>
    <row r="1" spans="1:16" ht="15.95" customHeight="1" x14ac:dyDescent="0.25">
      <c r="A1" s="258" t="s">
        <v>33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.95" customHeight="1" x14ac:dyDescent="0.25">
      <c r="A2" s="259" t="s">
        <v>34</v>
      </c>
      <c r="B2" s="259" t="s">
        <v>35</v>
      </c>
      <c r="C2" s="261" t="s">
        <v>36</v>
      </c>
      <c r="D2" s="259" t="s">
        <v>37</v>
      </c>
      <c r="E2" s="259" t="s">
        <v>38</v>
      </c>
      <c r="F2" s="258" t="s">
        <v>39</v>
      </c>
      <c r="G2" s="258"/>
      <c r="H2" s="258"/>
      <c r="I2" s="258"/>
      <c r="J2" s="259" t="s">
        <v>40</v>
      </c>
      <c r="K2" s="263" t="s">
        <v>41</v>
      </c>
      <c r="L2" s="263" t="s">
        <v>42</v>
      </c>
      <c r="M2" s="263" t="s">
        <v>43</v>
      </c>
      <c r="N2" s="263" t="s">
        <v>44</v>
      </c>
      <c r="O2" s="259" t="s">
        <v>45</v>
      </c>
      <c r="P2" s="259" t="s">
        <v>46</v>
      </c>
    </row>
    <row r="3" spans="1:16" ht="15.95" customHeight="1" x14ac:dyDescent="0.25">
      <c r="A3" s="260"/>
      <c r="B3" s="260"/>
      <c r="C3" s="262"/>
      <c r="D3" s="260"/>
      <c r="E3" s="260"/>
      <c r="F3" s="35" t="s">
        <v>18</v>
      </c>
      <c r="G3" s="35" t="s">
        <v>19</v>
      </c>
      <c r="H3" s="35" t="s">
        <v>20</v>
      </c>
      <c r="I3" s="35" t="s">
        <v>21</v>
      </c>
      <c r="J3" s="260"/>
      <c r="K3" s="264"/>
      <c r="L3" s="264"/>
      <c r="M3" s="264"/>
      <c r="N3" s="264"/>
      <c r="O3" s="260"/>
      <c r="P3" s="260"/>
    </row>
    <row r="4" spans="1:16" ht="409.15" customHeight="1" x14ac:dyDescent="0.25">
      <c r="A4" s="196" t="s">
        <v>129</v>
      </c>
      <c r="B4" s="330" t="s">
        <v>137</v>
      </c>
      <c r="C4" s="32">
        <v>1</v>
      </c>
      <c r="D4" s="86" t="s">
        <v>126</v>
      </c>
      <c r="E4" s="34" t="s">
        <v>178</v>
      </c>
      <c r="F4" s="30">
        <v>4</v>
      </c>
      <c r="G4" s="38"/>
      <c r="H4" s="38"/>
      <c r="I4" s="38">
        <v>2</v>
      </c>
      <c r="J4" s="42" t="s">
        <v>106</v>
      </c>
      <c r="K4" s="30" t="s">
        <v>47</v>
      </c>
      <c r="L4" s="30" t="s">
        <v>155</v>
      </c>
      <c r="M4" s="30" t="s">
        <v>117</v>
      </c>
      <c r="N4" s="39">
        <v>0</v>
      </c>
      <c r="O4" s="40">
        <v>5</v>
      </c>
      <c r="P4" s="42" t="s">
        <v>101</v>
      </c>
    </row>
    <row r="5" spans="1:16" ht="264" customHeight="1" x14ac:dyDescent="0.25">
      <c r="A5" s="197"/>
      <c r="B5" s="331"/>
      <c r="C5" s="61">
        <v>2</v>
      </c>
      <c r="D5" s="87" t="s">
        <v>118</v>
      </c>
      <c r="E5" s="79" t="s">
        <v>122</v>
      </c>
      <c r="F5" s="116">
        <v>4</v>
      </c>
      <c r="G5" s="62"/>
      <c r="H5" s="62"/>
      <c r="I5" s="62">
        <v>2</v>
      </c>
      <c r="J5" s="63" t="s">
        <v>103</v>
      </c>
      <c r="K5" s="64" t="s">
        <v>48</v>
      </c>
      <c r="L5" s="65" t="s">
        <v>87</v>
      </c>
      <c r="M5" s="65" t="s">
        <v>86</v>
      </c>
      <c r="N5" s="66">
        <v>0</v>
      </c>
      <c r="O5" s="67">
        <v>5</v>
      </c>
      <c r="P5" s="63" t="s">
        <v>104</v>
      </c>
    </row>
    <row r="6" spans="1:16" ht="275.45" customHeight="1" x14ac:dyDescent="0.25">
      <c r="A6" s="197"/>
      <c r="B6" s="331"/>
      <c r="C6" s="32">
        <v>3</v>
      </c>
      <c r="D6" s="86" t="s">
        <v>127</v>
      </c>
      <c r="E6" s="107" t="s">
        <v>156</v>
      </c>
      <c r="F6" s="30">
        <v>4</v>
      </c>
      <c r="G6" s="38"/>
      <c r="H6" s="38"/>
      <c r="I6" s="38">
        <v>2</v>
      </c>
      <c r="J6" s="42" t="s">
        <v>103</v>
      </c>
      <c r="K6" s="33" t="s">
        <v>48</v>
      </c>
      <c r="L6" s="43" t="s">
        <v>87</v>
      </c>
      <c r="M6" s="43" t="s">
        <v>86</v>
      </c>
      <c r="N6" s="39">
        <v>0</v>
      </c>
      <c r="O6" s="40">
        <v>5</v>
      </c>
      <c r="P6" s="42" t="s">
        <v>104</v>
      </c>
    </row>
    <row r="7" spans="1:16" ht="234.6" customHeight="1" x14ac:dyDescent="0.25">
      <c r="A7" s="197"/>
      <c r="B7" s="331"/>
      <c r="C7" s="68">
        <v>4</v>
      </c>
      <c r="D7" s="88" t="s">
        <v>128</v>
      </c>
      <c r="E7" s="108" t="s">
        <v>179</v>
      </c>
      <c r="F7" s="116">
        <v>4</v>
      </c>
      <c r="G7" s="62"/>
      <c r="H7" s="62"/>
      <c r="I7" s="62">
        <v>2</v>
      </c>
      <c r="J7" s="63" t="s">
        <v>103</v>
      </c>
      <c r="K7" s="64" t="s">
        <v>48</v>
      </c>
      <c r="L7" s="65" t="s">
        <v>87</v>
      </c>
      <c r="M7" s="65" t="s">
        <v>86</v>
      </c>
      <c r="N7" s="66">
        <v>0</v>
      </c>
      <c r="O7" s="67">
        <v>5</v>
      </c>
      <c r="P7" s="63" t="s">
        <v>105</v>
      </c>
    </row>
    <row r="8" spans="1:16" ht="141.6" customHeight="1" x14ac:dyDescent="0.25">
      <c r="A8" s="198"/>
      <c r="B8" s="332"/>
      <c r="C8" s="32">
        <v>5</v>
      </c>
      <c r="D8" s="109" t="s">
        <v>140</v>
      </c>
      <c r="E8" s="112" t="s">
        <v>157</v>
      </c>
      <c r="F8" s="30">
        <v>4</v>
      </c>
      <c r="G8" s="38"/>
      <c r="H8" s="38"/>
      <c r="I8" s="38">
        <v>2</v>
      </c>
      <c r="J8" s="42" t="s">
        <v>103</v>
      </c>
      <c r="K8" s="31" t="s">
        <v>49</v>
      </c>
      <c r="L8" s="30" t="s">
        <v>113</v>
      </c>
      <c r="M8" s="110" t="s">
        <v>119</v>
      </c>
      <c r="N8" s="111">
        <v>0.28000000000000003</v>
      </c>
      <c r="O8" s="40">
        <v>6</v>
      </c>
      <c r="P8" s="42" t="s">
        <v>105</v>
      </c>
    </row>
    <row r="9" spans="1:16" ht="86.1" customHeight="1" x14ac:dyDescent="0.25">
      <c r="A9" s="327" t="s">
        <v>142</v>
      </c>
      <c r="B9" s="324" t="s">
        <v>138</v>
      </c>
      <c r="C9" s="199">
        <v>6</v>
      </c>
      <c r="D9" s="202" t="s">
        <v>120</v>
      </c>
      <c r="E9" s="223" t="s">
        <v>121</v>
      </c>
      <c r="F9" s="215">
        <v>4</v>
      </c>
      <c r="G9" s="219"/>
      <c r="H9" s="219"/>
      <c r="I9" s="219">
        <v>2</v>
      </c>
      <c r="J9" s="274" t="s">
        <v>107</v>
      </c>
      <c r="K9" s="268"/>
      <c r="L9" s="271"/>
      <c r="M9" s="268"/>
      <c r="N9" s="265"/>
      <c r="O9" s="348">
        <v>5</v>
      </c>
      <c r="P9" s="44" t="s">
        <v>114</v>
      </c>
    </row>
    <row r="10" spans="1:16" x14ac:dyDescent="0.25">
      <c r="A10" s="328"/>
      <c r="B10" s="325"/>
      <c r="C10" s="200"/>
      <c r="D10" s="203"/>
      <c r="E10" s="224"/>
      <c r="F10" s="222"/>
      <c r="G10" s="220"/>
      <c r="H10" s="220"/>
      <c r="I10" s="220"/>
      <c r="J10" s="279"/>
      <c r="K10" s="269"/>
      <c r="L10" s="272"/>
      <c r="M10" s="269"/>
      <c r="N10" s="266"/>
      <c r="O10" s="349"/>
      <c r="P10" s="78" t="s">
        <v>116</v>
      </c>
    </row>
    <row r="11" spans="1:16" ht="15.75" customHeight="1" x14ac:dyDescent="0.25">
      <c r="A11" s="328"/>
      <c r="B11" s="325"/>
      <c r="C11" s="200"/>
      <c r="D11" s="283"/>
      <c r="E11" s="224"/>
      <c r="F11" s="222"/>
      <c r="G11" s="220"/>
      <c r="H11" s="220"/>
      <c r="I11" s="220"/>
      <c r="J11" s="224"/>
      <c r="K11" s="269"/>
      <c r="L11" s="272"/>
      <c r="M11" s="269"/>
      <c r="N11" s="266"/>
      <c r="O11" s="349"/>
      <c r="P11" s="113" t="s">
        <v>159</v>
      </c>
    </row>
    <row r="12" spans="1:16" ht="16.5" customHeight="1" x14ac:dyDescent="0.25">
      <c r="A12" s="328"/>
      <c r="B12" s="325"/>
      <c r="C12" s="200"/>
      <c r="D12" s="283"/>
      <c r="E12" s="224"/>
      <c r="F12" s="222"/>
      <c r="G12" s="220"/>
      <c r="H12" s="220"/>
      <c r="I12" s="220"/>
      <c r="J12" s="224"/>
      <c r="K12" s="269"/>
      <c r="L12" s="272"/>
      <c r="M12" s="269"/>
      <c r="N12" s="266"/>
      <c r="O12" s="349"/>
      <c r="P12" s="113" t="s">
        <v>158</v>
      </c>
    </row>
    <row r="13" spans="1:16" ht="15" customHeight="1" x14ac:dyDescent="0.25">
      <c r="A13" s="328"/>
      <c r="B13" s="325"/>
      <c r="C13" s="200"/>
      <c r="D13" s="283"/>
      <c r="E13" s="224"/>
      <c r="F13" s="222"/>
      <c r="G13" s="220"/>
      <c r="H13" s="220"/>
      <c r="I13" s="220"/>
      <c r="J13" s="224"/>
      <c r="K13" s="269"/>
      <c r="L13" s="272"/>
      <c r="M13" s="269"/>
      <c r="N13" s="266"/>
      <c r="O13" s="349"/>
      <c r="P13" s="45" t="s">
        <v>89</v>
      </c>
    </row>
    <row r="14" spans="1:16" ht="47.1" customHeight="1" x14ac:dyDescent="0.25">
      <c r="A14" s="328"/>
      <c r="B14" s="325"/>
      <c r="C14" s="201"/>
      <c r="D14" s="282"/>
      <c r="E14" s="225"/>
      <c r="F14" s="216"/>
      <c r="G14" s="221"/>
      <c r="H14" s="221"/>
      <c r="I14" s="221"/>
      <c r="J14" s="225"/>
      <c r="K14" s="270"/>
      <c r="L14" s="272"/>
      <c r="M14" s="270"/>
      <c r="N14" s="267"/>
      <c r="O14" s="350"/>
      <c r="P14" s="46" t="s">
        <v>90</v>
      </c>
    </row>
    <row r="15" spans="1:16" ht="153.6" customHeight="1" x14ac:dyDescent="0.25">
      <c r="A15" s="328"/>
      <c r="B15" s="325"/>
      <c r="C15" s="290">
        <v>7</v>
      </c>
      <c r="D15" s="287" t="s">
        <v>143</v>
      </c>
      <c r="E15" s="284" t="s">
        <v>180</v>
      </c>
      <c r="F15" s="309">
        <v>4</v>
      </c>
      <c r="G15" s="309"/>
      <c r="H15" s="309"/>
      <c r="I15" s="309">
        <v>2</v>
      </c>
      <c r="J15" s="284" t="s">
        <v>107</v>
      </c>
      <c r="K15" s="306" t="s">
        <v>48</v>
      </c>
      <c r="L15" s="303" t="s">
        <v>87</v>
      </c>
      <c r="M15" s="300" t="s">
        <v>86</v>
      </c>
      <c r="N15" s="297">
        <v>0</v>
      </c>
      <c r="O15" s="351">
        <v>5</v>
      </c>
      <c r="P15" s="69" t="s">
        <v>160</v>
      </c>
    </row>
    <row r="16" spans="1:16" ht="19.5" customHeight="1" x14ac:dyDescent="0.25">
      <c r="A16" s="328"/>
      <c r="B16" s="325"/>
      <c r="C16" s="291"/>
      <c r="D16" s="288"/>
      <c r="E16" s="285"/>
      <c r="F16" s="310"/>
      <c r="G16" s="310"/>
      <c r="H16" s="310"/>
      <c r="I16" s="310"/>
      <c r="J16" s="285"/>
      <c r="K16" s="307"/>
      <c r="L16" s="304"/>
      <c r="M16" s="301"/>
      <c r="N16" s="298"/>
      <c r="O16" s="352"/>
      <c r="P16" s="71" t="s">
        <v>91</v>
      </c>
    </row>
    <row r="17" spans="1:16" ht="40.5" customHeight="1" x14ac:dyDescent="0.25">
      <c r="A17" s="328"/>
      <c r="B17" s="325"/>
      <c r="C17" s="291"/>
      <c r="D17" s="288"/>
      <c r="E17" s="285"/>
      <c r="F17" s="310"/>
      <c r="G17" s="310"/>
      <c r="H17" s="310"/>
      <c r="I17" s="310"/>
      <c r="J17" s="285"/>
      <c r="K17" s="307"/>
      <c r="L17" s="304"/>
      <c r="M17" s="301"/>
      <c r="N17" s="298"/>
      <c r="O17" s="353"/>
      <c r="P17" s="71" t="s">
        <v>92</v>
      </c>
    </row>
    <row r="18" spans="1:16" ht="24.95" customHeight="1" x14ac:dyDescent="0.25">
      <c r="A18" s="328"/>
      <c r="B18" s="325"/>
      <c r="C18" s="292"/>
      <c r="D18" s="289"/>
      <c r="E18" s="286"/>
      <c r="F18" s="311"/>
      <c r="G18" s="311"/>
      <c r="H18" s="311"/>
      <c r="I18" s="311"/>
      <c r="J18" s="286"/>
      <c r="K18" s="308"/>
      <c r="L18" s="305"/>
      <c r="M18" s="302"/>
      <c r="N18" s="299"/>
      <c r="O18" s="354"/>
      <c r="P18" s="114"/>
    </row>
    <row r="19" spans="1:16" ht="128.44999999999999" customHeight="1" x14ac:dyDescent="0.25">
      <c r="A19" s="328"/>
      <c r="B19" s="325"/>
      <c r="C19" s="199">
        <v>8</v>
      </c>
      <c r="D19" s="202" t="s">
        <v>145</v>
      </c>
      <c r="E19" s="205" t="s">
        <v>147</v>
      </c>
      <c r="F19" s="208">
        <v>4</v>
      </c>
      <c r="G19" s="208"/>
      <c r="H19" s="208"/>
      <c r="I19" s="208">
        <v>2</v>
      </c>
      <c r="J19" s="274" t="s">
        <v>171</v>
      </c>
      <c r="K19" s="219"/>
      <c r="L19" s="215"/>
      <c r="M19" s="215"/>
      <c r="N19" s="211"/>
      <c r="O19" s="211">
        <v>5</v>
      </c>
      <c r="P19" s="44" t="s">
        <v>114</v>
      </c>
    </row>
    <row r="20" spans="1:16" ht="18.600000000000001" customHeight="1" x14ac:dyDescent="0.25">
      <c r="A20" s="328"/>
      <c r="B20" s="325"/>
      <c r="C20" s="200"/>
      <c r="D20" s="203"/>
      <c r="E20" s="206"/>
      <c r="F20" s="209"/>
      <c r="G20" s="209"/>
      <c r="H20" s="209"/>
      <c r="I20" s="209"/>
      <c r="J20" s="279"/>
      <c r="K20" s="220"/>
      <c r="L20" s="222"/>
      <c r="M20" s="222"/>
      <c r="N20" s="323"/>
      <c r="O20" s="323"/>
      <c r="P20" s="45" t="s">
        <v>93</v>
      </c>
    </row>
    <row r="21" spans="1:16" ht="103.5" customHeight="1" x14ac:dyDescent="0.25">
      <c r="A21" s="328"/>
      <c r="B21" s="325"/>
      <c r="C21" s="201"/>
      <c r="D21" s="204"/>
      <c r="E21" s="207"/>
      <c r="F21" s="210"/>
      <c r="G21" s="210"/>
      <c r="H21" s="210"/>
      <c r="I21" s="210"/>
      <c r="J21" s="296"/>
      <c r="K21" s="221"/>
      <c r="L21" s="216"/>
      <c r="M21" s="216"/>
      <c r="N21" s="212"/>
      <c r="O21" s="212"/>
      <c r="P21" s="45" t="s">
        <v>94</v>
      </c>
    </row>
    <row r="22" spans="1:16" ht="119.1" customHeight="1" x14ac:dyDescent="0.25">
      <c r="A22" s="328"/>
      <c r="B22" s="325"/>
      <c r="C22" s="290">
        <v>9</v>
      </c>
      <c r="D22" s="287" t="s">
        <v>144</v>
      </c>
      <c r="E22" s="343" t="s">
        <v>124</v>
      </c>
      <c r="F22" s="293">
        <v>4</v>
      </c>
      <c r="G22" s="293"/>
      <c r="H22" s="293"/>
      <c r="I22" s="293">
        <v>2</v>
      </c>
      <c r="J22" s="284" t="s">
        <v>107</v>
      </c>
      <c r="K22" s="306" t="s">
        <v>48</v>
      </c>
      <c r="L22" s="303" t="s">
        <v>87</v>
      </c>
      <c r="M22" s="300" t="s">
        <v>86</v>
      </c>
      <c r="N22" s="340">
        <v>0</v>
      </c>
      <c r="O22" s="337">
        <v>6</v>
      </c>
      <c r="P22" s="69" t="s">
        <v>162</v>
      </c>
    </row>
    <row r="23" spans="1:16" ht="20.100000000000001" customHeight="1" x14ac:dyDescent="0.25">
      <c r="A23" s="328"/>
      <c r="B23" s="325"/>
      <c r="C23" s="291"/>
      <c r="D23" s="346"/>
      <c r="E23" s="344"/>
      <c r="F23" s="294"/>
      <c r="G23" s="294"/>
      <c r="H23" s="294"/>
      <c r="I23" s="294"/>
      <c r="J23" s="347"/>
      <c r="K23" s="307"/>
      <c r="L23" s="304"/>
      <c r="M23" s="301"/>
      <c r="N23" s="341"/>
      <c r="O23" s="338"/>
      <c r="P23" s="115" t="s">
        <v>161</v>
      </c>
    </row>
    <row r="24" spans="1:16" ht="79.5" customHeight="1" x14ac:dyDescent="0.25">
      <c r="A24" s="328"/>
      <c r="B24" s="325"/>
      <c r="C24" s="292"/>
      <c r="D24" s="289"/>
      <c r="E24" s="345"/>
      <c r="F24" s="295"/>
      <c r="G24" s="295"/>
      <c r="H24" s="295"/>
      <c r="I24" s="295"/>
      <c r="J24" s="286"/>
      <c r="K24" s="308"/>
      <c r="L24" s="305"/>
      <c r="M24" s="302"/>
      <c r="N24" s="342"/>
      <c r="O24" s="339"/>
      <c r="P24" s="70"/>
    </row>
    <row r="25" spans="1:16" ht="117" customHeight="1" x14ac:dyDescent="0.25">
      <c r="A25" s="328"/>
      <c r="B25" s="325"/>
      <c r="C25" s="199">
        <v>10</v>
      </c>
      <c r="D25" s="202" t="s">
        <v>174</v>
      </c>
      <c r="E25" s="280" t="s">
        <v>172</v>
      </c>
      <c r="F25" s="275">
        <v>4</v>
      </c>
      <c r="G25" s="277"/>
      <c r="H25" s="277"/>
      <c r="I25" s="275">
        <v>2</v>
      </c>
      <c r="J25" s="274" t="s">
        <v>107</v>
      </c>
      <c r="K25" s="217" t="s">
        <v>49</v>
      </c>
      <c r="L25" s="215" t="s">
        <v>123</v>
      </c>
      <c r="M25" s="215" t="s">
        <v>88</v>
      </c>
      <c r="N25" s="213">
        <f>0.46/2</f>
        <v>0.23</v>
      </c>
      <c r="O25" s="211">
        <v>6</v>
      </c>
      <c r="P25" s="44" t="s">
        <v>114</v>
      </c>
    </row>
    <row r="26" spans="1:16" ht="119.25" customHeight="1" x14ac:dyDescent="0.25">
      <c r="A26" s="328"/>
      <c r="B26" s="325"/>
      <c r="C26" s="201"/>
      <c r="D26" s="282"/>
      <c r="E26" s="281"/>
      <c r="F26" s="276"/>
      <c r="G26" s="278"/>
      <c r="H26" s="278"/>
      <c r="I26" s="276"/>
      <c r="J26" s="225"/>
      <c r="K26" s="218"/>
      <c r="L26" s="216"/>
      <c r="M26" s="216"/>
      <c r="N26" s="214"/>
      <c r="O26" s="212"/>
      <c r="P26" s="47" t="s">
        <v>95</v>
      </c>
    </row>
    <row r="27" spans="1:16" ht="228" customHeight="1" x14ac:dyDescent="0.25">
      <c r="A27" s="328"/>
      <c r="B27" s="325"/>
      <c r="C27" s="72">
        <v>11</v>
      </c>
      <c r="D27" s="89" t="s">
        <v>173</v>
      </c>
      <c r="E27" s="95" t="s">
        <v>177</v>
      </c>
      <c r="F27" s="81">
        <v>4</v>
      </c>
      <c r="G27" s="117"/>
      <c r="H27" s="117"/>
      <c r="I27" s="81">
        <v>2</v>
      </c>
      <c r="J27" s="96" t="s">
        <v>103</v>
      </c>
      <c r="K27" s="72"/>
      <c r="L27" s="72"/>
      <c r="M27" s="72"/>
      <c r="N27" s="73"/>
      <c r="O27" s="73">
        <v>5</v>
      </c>
      <c r="P27" s="97" t="s">
        <v>163</v>
      </c>
    </row>
    <row r="28" spans="1:16" ht="196.5" customHeight="1" x14ac:dyDescent="0.25">
      <c r="A28" s="328"/>
      <c r="B28" s="325"/>
      <c r="C28" s="29">
        <v>12</v>
      </c>
      <c r="D28" s="101" t="s">
        <v>175</v>
      </c>
      <c r="E28" s="102" t="s">
        <v>176</v>
      </c>
      <c r="F28" s="103">
        <v>4</v>
      </c>
      <c r="G28" s="118"/>
      <c r="H28" s="118"/>
      <c r="I28" s="103">
        <v>2</v>
      </c>
      <c r="J28" s="48" t="s">
        <v>103</v>
      </c>
      <c r="K28" s="104" t="s">
        <v>48</v>
      </c>
      <c r="L28" s="105" t="s">
        <v>87</v>
      </c>
      <c r="M28" s="105" t="s">
        <v>86</v>
      </c>
      <c r="N28" s="106">
        <v>0</v>
      </c>
      <c r="O28" s="41">
        <v>5</v>
      </c>
      <c r="P28" s="48" t="s">
        <v>115</v>
      </c>
    </row>
    <row r="29" spans="1:16" ht="120.6" customHeight="1" x14ac:dyDescent="0.25">
      <c r="A29" s="329"/>
      <c r="B29" s="326"/>
      <c r="C29" s="72">
        <v>13</v>
      </c>
      <c r="D29" s="98" t="s">
        <v>146</v>
      </c>
      <c r="E29" s="99" t="s">
        <v>148</v>
      </c>
      <c r="F29" s="81">
        <v>4</v>
      </c>
      <c r="G29" s="117"/>
      <c r="H29" s="117"/>
      <c r="I29" s="81">
        <v>2</v>
      </c>
      <c r="J29" s="72"/>
      <c r="K29" s="72" t="s">
        <v>49</v>
      </c>
      <c r="L29" s="80" t="s">
        <v>123</v>
      </c>
      <c r="M29" s="81" t="s">
        <v>88</v>
      </c>
      <c r="N29" s="100">
        <f>0.46/2</f>
        <v>0.23</v>
      </c>
      <c r="O29" s="73">
        <v>6</v>
      </c>
      <c r="P29" s="94" t="s">
        <v>164</v>
      </c>
    </row>
    <row r="30" spans="1:16" ht="159.94999999999999" customHeight="1" x14ac:dyDescent="0.25">
      <c r="A30" s="195" t="s">
        <v>141</v>
      </c>
      <c r="B30" s="273" t="s">
        <v>139</v>
      </c>
      <c r="C30" s="232">
        <v>14</v>
      </c>
      <c r="D30" s="230" t="s">
        <v>149</v>
      </c>
      <c r="E30" s="228" t="s">
        <v>150</v>
      </c>
      <c r="F30" s="252">
        <v>4</v>
      </c>
      <c r="G30" s="252"/>
      <c r="H30" s="252"/>
      <c r="I30" s="252">
        <v>2</v>
      </c>
      <c r="J30" s="250" t="s">
        <v>107</v>
      </c>
      <c r="K30" s="232"/>
      <c r="L30" s="232"/>
      <c r="M30" s="256"/>
      <c r="N30" s="254"/>
      <c r="O30" s="254">
        <v>5</v>
      </c>
      <c r="P30" s="50" t="s">
        <v>114</v>
      </c>
    </row>
    <row r="31" spans="1:16" ht="95.45" customHeight="1" x14ac:dyDescent="0.25">
      <c r="A31" s="195"/>
      <c r="B31" s="273"/>
      <c r="C31" s="233"/>
      <c r="D31" s="231"/>
      <c r="E31" s="229"/>
      <c r="F31" s="253"/>
      <c r="G31" s="253"/>
      <c r="H31" s="253"/>
      <c r="I31" s="253"/>
      <c r="J31" s="251"/>
      <c r="K31" s="233"/>
      <c r="L31" s="233"/>
      <c r="M31" s="257"/>
      <c r="N31" s="255"/>
      <c r="O31" s="255"/>
      <c r="P31" s="51" t="s">
        <v>96</v>
      </c>
    </row>
    <row r="32" spans="1:16" ht="140.44999999999999" customHeight="1" x14ac:dyDescent="0.25">
      <c r="A32" s="195"/>
      <c r="B32" s="273"/>
      <c r="C32" s="226">
        <v>15</v>
      </c>
      <c r="D32" s="248" t="s">
        <v>165</v>
      </c>
      <c r="E32" s="246" t="s">
        <v>166</v>
      </c>
      <c r="F32" s="244">
        <v>4</v>
      </c>
      <c r="G32" s="244"/>
      <c r="H32" s="244"/>
      <c r="I32" s="244">
        <v>2</v>
      </c>
      <c r="J32" s="242" t="s">
        <v>107</v>
      </c>
      <c r="K32" s="240" t="s">
        <v>48</v>
      </c>
      <c r="L32" s="238" t="s">
        <v>87</v>
      </c>
      <c r="M32" s="238" t="s">
        <v>86</v>
      </c>
      <c r="N32" s="236">
        <v>0</v>
      </c>
      <c r="O32" s="234">
        <v>5</v>
      </c>
      <c r="P32" s="74" t="s">
        <v>114</v>
      </c>
    </row>
    <row r="33" spans="1:16" ht="71.099999999999994" customHeight="1" x14ac:dyDescent="0.25">
      <c r="A33" s="195"/>
      <c r="B33" s="273"/>
      <c r="C33" s="227"/>
      <c r="D33" s="249"/>
      <c r="E33" s="247"/>
      <c r="F33" s="245"/>
      <c r="G33" s="245"/>
      <c r="H33" s="245"/>
      <c r="I33" s="245"/>
      <c r="J33" s="243"/>
      <c r="K33" s="241"/>
      <c r="L33" s="239"/>
      <c r="M33" s="239"/>
      <c r="N33" s="237"/>
      <c r="O33" s="235"/>
      <c r="P33" s="75" t="s">
        <v>97</v>
      </c>
    </row>
    <row r="34" spans="1:16" ht="240" customHeight="1" x14ac:dyDescent="0.25">
      <c r="A34" s="195"/>
      <c r="B34" s="273"/>
      <c r="C34" s="52">
        <v>16</v>
      </c>
      <c r="D34" s="90" t="s">
        <v>151</v>
      </c>
      <c r="E34" s="91" t="s">
        <v>152</v>
      </c>
      <c r="F34" s="119">
        <v>4</v>
      </c>
      <c r="G34" s="119"/>
      <c r="H34" s="119"/>
      <c r="I34" s="119">
        <v>2</v>
      </c>
      <c r="J34" s="54" t="s">
        <v>103</v>
      </c>
      <c r="K34" s="53" t="s">
        <v>49</v>
      </c>
      <c r="L34" s="82" t="s">
        <v>123</v>
      </c>
      <c r="M34" s="83" t="s">
        <v>88</v>
      </c>
      <c r="N34" s="55">
        <v>0.26</v>
      </c>
      <c r="O34" s="122">
        <v>6</v>
      </c>
      <c r="P34" s="93" t="s">
        <v>167</v>
      </c>
    </row>
    <row r="35" spans="1:16" ht="81" customHeight="1" x14ac:dyDescent="0.25">
      <c r="A35" s="195"/>
      <c r="B35" s="273"/>
      <c r="C35" s="76">
        <v>17</v>
      </c>
      <c r="D35" s="333" t="s">
        <v>153</v>
      </c>
      <c r="E35" s="335" t="s">
        <v>154</v>
      </c>
      <c r="F35" s="120">
        <v>4</v>
      </c>
      <c r="G35" s="321"/>
      <c r="H35" s="321"/>
      <c r="I35" s="120">
        <v>2</v>
      </c>
      <c r="J35" s="242" t="s">
        <v>103</v>
      </c>
      <c r="K35" s="226" t="s">
        <v>49</v>
      </c>
      <c r="L35" s="238" t="s">
        <v>123</v>
      </c>
      <c r="M35" s="318" t="s">
        <v>88</v>
      </c>
      <c r="N35" s="316" t="s">
        <v>169</v>
      </c>
      <c r="O35" s="314">
        <v>5</v>
      </c>
      <c r="P35" s="312" t="s">
        <v>168</v>
      </c>
    </row>
    <row r="36" spans="1:16" ht="86.45" customHeight="1" x14ac:dyDescent="0.25">
      <c r="A36" s="195"/>
      <c r="B36" s="273"/>
      <c r="C36" s="52">
        <v>18</v>
      </c>
      <c r="D36" s="334"/>
      <c r="E36" s="336"/>
      <c r="F36" s="121">
        <v>2</v>
      </c>
      <c r="G36" s="322"/>
      <c r="H36" s="322"/>
      <c r="I36" s="121">
        <v>2</v>
      </c>
      <c r="J36" s="320"/>
      <c r="K36" s="227"/>
      <c r="L36" s="239"/>
      <c r="M36" s="319"/>
      <c r="N36" s="317"/>
      <c r="O36" s="315"/>
      <c r="P36" s="313"/>
    </row>
    <row r="37" spans="1:16" ht="88.5" customHeight="1" x14ac:dyDescent="0.25">
      <c r="A37" s="195"/>
      <c r="B37" s="273"/>
      <c r="C37" s="53">
        <v>18</v>
      </c>
      <c r="D37" s="85" t="s">
        <v>102</v>
      </c>
      <c r="E37" s="92" t="s">
        <v>125</v>
      </c>
      <c r="F37" s="121">
        <v>2</v>
      </c>
      <c r="G37" s="121"/>
      <c r="H37" s="121"/>
      <c r="I37" s="121">
        <v>0</v>
      </c>
      <c r="J37" s="58"/>
      <c r="K37" s="59" t="s">
        <v>49</v>
      </c>
      <c r="L37" s="82" t="s">
        <v>123</v>
      </c>
      <c r="M37" s="56" t="s">
        <v>88</v>
      </c>
      <c r="N37" s="84" t="s">
        <v>108</v>
      </c>
      <c r="O37" s="57">
        <v>6</v>
      </c>
      <c r="P37" s="60" t="s">
        <v>109</v>
      </c>
    </row>
    <row r="38" spans="1:16" ht="31.5" x14ac:dyDescent="0.25">
      <c r="A38" s="25"/>
      <c r="B38" s="25"/>
      <c r="C38" s="26"/>
      <c r="D38" s="37" t="s">
        <v>84</v>
      </c>
      <c r="E38" s="28" t="s">
        <v>50</v>
      </c>
      <c r="F38" s="15">
        <f>SUM(F4:F37)</f>
        <v>72</v>
      </c>
      <c r="G38" s="15"/>
      <c r="H38" s="15"/>
      <c r="I38" s="15">
        <f>SUM(I4:I37)</f>
        <v>36</v>
      </c>
      <c r="J38" s="25"/>
      <c r="K38" s="25"/>
      <c r="L38" s="25"/>
      <c r="M38" s="25"/>
      <c r="N38" s="15" t="s">
        <v>51</v>
      </c>
      <c r="O38" s="49">
        <f>SUM(O4:O37)</f>
        <v>96</v>
      </c>
      <c r="P38" s="27"/>
    </row>
    <row r="39" spans="1:16" x14ac:dyDescent="0.25">
      <c r="A39" s="25"/>
      <c r="B39" s="25"/>
      <c r="C39" s="26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</sheetData>
  <sheetProtection formatCells="0" formatColumns="0" formatRows="0" insertColumns="0" insertRows="0" insertHyperlinks="0" deleteColumns="0" deleteRows="0" sort="0" autoFilter="0" pivotTables="0"/>
  <mergeCells count="122">
    <mergeCell ref="K19:K21"/>
    <mergeCell ref="L19:L21"/>
    <mergeCell ref="M19:M21"/>
    <mergeCell ref="N19:N21"/>
    <mergeCell ref="O19:O21"/>
    <mergeCell ref="B9:B29"/>
    <mergeCell ref="A9:A29"/>
    <mergeCell ref="B4:B8"/>
    <mergeCell ref="D35:D36"/>
    <mergeCell ref="E35:E36"/>
    <mergeCell ref="O22:O24"/>
    <mergeCell ref="N22:N24"/>
    <mergeCell ref="M22:M24"/>
    <mergeCell ref="L22:L24"/>
    <mergeCell ref="K22:K24"/>
    <mergeCell ref="E22:E24"/>
    <mergeCell ref="D22:D24"/>
    <mergeCell ref="C22:C24"/>
    <mergeCell ref="J22:J24"/>
    <mergeCell ref="I22:I24"/>
    <mergeCell ref="H19:H21"/>
    <mergeCell ref="I19:I21"/>
    <mergeCell ref="O9:O14"/>
    <mergeCell ref="O15:O18"/>
    <mergeCell ref="P35:P36"/>
    <mergeCell ref="O35:O36"/>
    <mergeCell ref="N35:N36"/>
    <mergeCell ref="M35:M36"/>
    <mergeCell ref="L35:L36"/>
    <mergeCell ref="K35:K36"/>
    <mergeCell ref="J35:J36"/>
    <mergeCell ref="H35:H36"/>
    <mergeCell ref="G35:G36"/>
    <mergeCell ref="N15:N18"/>
    <mergeCell ref="M15:M18"/>
    <mergeCell ref="L15:L18"/>
    <mergeCell ref="K15:K18"/>
    <mergeCell ref="J15:J18"/>
    <mergeCell ref="I15:I18"/>
    <mergeCell ref="F15:F18"/>
    <mergeCell ref="G15:G18"/>
    <mergeCell ref="H15:H18"/>
    <mergeCell ref="N9:N14"/>
    <mergeCell ref="M9:M14"/>
    <mergeCell ref="L9:L14"/>
    <mergeCell ref="K9:K14"/>
    <mergeCell ref="B30:B37"/>
    <mergeCell ref="J25:J26"/>
    <mergeCell ref="I25:I26"/>
    <mergeCell ref="H25:H26"/>
    <mergeCell ref="J9:J14"/>
    <mergeCell ref="L30:L31"/>
    <mergeCell ref="K30:K31"/>
    <mergeCell ref="G25:G26"/>
    <mergeCell ref="F25:F26"/>
    <mergeCell ref="E25:E26"/>
    <mergeCell ref="D25:D26"/>
    <mergeCell ref="D9:D14"/>
    <mergeCell ref="C9:C14"/>
    <mergeCell ref="E15:E18"/>
    <mergeCell ref="D15:D18"/>
    <mergeCell ref="C15:C18"/>
    <mergeCell ref="H22:H24"/>
    <mergeCell ref="G22:G24"/>
    <mergeCell ref="F22:F24"/>
    <mergeCell ref="J19:J21"/>
    <mergeCell ref="A1:P1"/>
    <mergeCell ref="E2:E3"/>
    <mergeCell ref="D2:D3"/>
    <mergeCell ref="C2:C3"/>
    <mergeCell ref="B2:B3"/>
    <mergeCell ref="A2:A3"/>
    <mergeCell ref="N2:N3"/>
    <mergeCell ref="O2:O3"/>
    <mergeCell ref="P2:P3"/>
    <mergeCell ref="J2:J3"/>
    <mergeCell ref="F2:I2"/>
    <mergeCell ref="K2:K3"/>
    <mergeCell ref="L2:L3"/>
    <mergeCell ref="M2:M3"/>
    <mergeCell ref="D32:D33"/>
    <mergeCell ref="J30:J31"/>
    <mergeCell ref="I30:I31"/>
    <mergeCell ref="H30:H31"/>
    <mergeCell ref="G30:G31"/>
    <mergeCell ref="F30:F31"/>
    <mergeCell ref="O30:O31"/>
    <mergeCell ref="N30:N31"/>
    <mergeCell ref="M30:M31"/>
    <mergeCell ref="M32:M33"/>
    <mergeCell ref="L32:L33"/>
    <mergeCell ref="K32:K33"/>
    <mergeCell ref="J32:J33"/>
    <mergeCell ref="I32:I33"/>
    <mergeCell ref="H32:H33"/>
    <mergeCell ref="G32:G33"/>
    <mergeCell ref="F32:F33"/>
    <mergeCell ref="E32:E33"/>
    <mergeCell ref="A30:A37"/>
    <mergeCell ref="A4:A8"/>
    <mergeCell ref="C19:C21"/>
    <mergeCell ref="D19:D21"/>
    <mergeCell ref="E19:E21"/>
    <mergeCell ref="F19:F21"/>
    <mergeCell ref="G19:G21"/>
    <mergeCell ref="C25:C26"/>
    <mergeCell ref="O25:O26"/>
    <mergeCell ref="N25:N26"/>
    <mergeCell ref="M25:M26"/>
    <mergeCell ref="L25:L26"/>
    <mergeCell ref="K25:K26"/>
    <mergeCell ref="I9:I14"/>
    <mergeCell ref="H9:H14"/>
    <mergeCell ref="G9:G14"/>
    <mergeCell ref="F9:F14"/>
    <mergeCell ref="E9:E14"/>
    <mergeCell ref="C32:C33"/>
    <mergeCell ref="E30:E31"/>
    <mergeCell ref="D30:D31"/>
    <mergeCell ref="C30:C31"/>
    <mergeCell ref="O32:O33"/>
    <mergeCell ref="N32:N33"/>
  </mergeCells>
  <hyperlinks>
    <hyperlink ref="P11" r:id="rId1" xr:uid="{53CFFAAB-31A1-4577-A964-081E7B667D95}"/>
    <hyperlink ref="P12" r:id="rId2" xr:uid="{534F7A7A-760D-4AAB-99E9-8E7EF7A6108D}"/>
    <hyperlink ref="P13" r:id="rId3" xr:uid="{3D24E7C8-A993-4AF3-A27E-55CDCD3C065A}"/>
    <hyperlink ref="P14" r:id="rId4" xr:uid="{EA999FF3-FD4F-4EDC-B5E0-A421F7413C9D}"/>
    <hyperlink ref="P26" r:id="rId5" xr:uid="{F089CC84-D554-9C48-9CA4-0E15B59EC575}"/>
    <hyperlink ref="P31" r:id="rId6" xr:uid="{77C0A4DF-0C00-6749-BB81-11022FBFCCEE}"/>
    <hyperlink ref="P33" r:id="rId7" xr:uid="{761FF553-8B1A-114F-AAA0-C5B0BE8C4145}"/>
    <hyperlink ref="P10" r:id="rId8" xr:uid="{3C648F74-B207-43D9-80CC-A5B5D159CCA1}"/>
    <hyperlink ref="P16" r:id="rId9" xr:uid="{BA7451D3-C00E-46D5-8B07-7494B4A7ED6E}"/>
    <hyperlink ref="P17" r:id="rId10" xr:uid="{48301B4E-DB57-4086-9233-8CC2B0FE805D}"/>
    <hyperlink ref="P20" r:id="rId11" xr:uid="{2C802247-8DC3-4991-9FE3-5EDDB4F7ED61}"/>
    <hyperlink ref="P21" r:id="rId12" xr:uid="{78B631A2-2EE2-48FA-ADAC-CBA28602691E}"/>
    <hyperlink ref="P23" r:id="rId13" display="https://nam02.safelinks.protection.outlook.com/?url=https%3A%2F%2Falumnossantotomas-my.sharepoint.com%2F%3Av%3A%2Fg%2Fpersonal%2Fbraulio_briones_alumnos_santotomas_cl%2FEfqkD1qLGJJAu5kicLxtjUEBs7hQIJ6rKzzZD_zYq9m19g%3Fe%3DegW1Ow&amp;data=05%7C01%7Camolinaru%40santotomas.cl%7Cb829320c0e4b41e6032c08da3a6138a2%7C3bb118c0bb1e441887e5d176550897cb%7C0%7C0%7C637886486488768824%7CUnknown%7CTWFpbGZsb3d8eyJWIjoiMC4wLjAwMDAiLCJQIjoiV2luMzIiLCJBTiI6Ik1haWwiLCJXVCI6Mn0%3D%7C3000%7C%7C%7C&amp;sdata=oLpnXyT7Y4SLQiV2RM42xmpyIYNAH5ItyPpVvZgSC%2FE%3D&amp;reserved=0" xr:uid="{AE9F4268-8148-499A-A26E-C857D3D3F336}"/>
  </hyperlinks>
  <pageMargins left="0.7" right="0.7" top="0.75" bottom="0.75" header="0.3" footer="0.3"/>
  <pageSetup paperSize="9" orientation="portrait" r:id="rId14"/>
  <ignoredErrors>
    <ignoredError sqref="N25 N29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E380-BB5E-4044-BF22-5953E9140F07}">
  <sheetPr codeName="Hoja3"/>
  <dimension ref="A3:K11"/>
  <sheetViews>
    <sheetView workbookViewId="0">
      <selection activeCell="J3" sqref="J3:J6"/>
    </sheetView>
  </sheetViews>
  <sheetFormatPr baseColWidth="10" defaultColWidth="11.42578125" defaultRowHeight="15" x14ac:dyDescent="0.25"/>
  <sheetData>
    <row r="3" spans="1:11" x14ac:dyDescent="0.25">
      <c r="A3" s="2" t="s">
        <v>47</v>
      </c>
      <c r="B3" s="2" t="s">
        <v>52</v>
      </c>
      <c r="C3" s="2" t="s">
        <v>53</v>
      </c>
      <c r="E3" t="s">
        <v>54</v>
      </c>
      <c r="F3" t="s">
        <v>47</v>
      </c>
      <c r="G3" t="s">
        <v>55</v>
      </c>
      <c r="H3" t="s">
        <v>56</v>
      </c>
      <c r="I3" t="s">
        <v>57</v>
      </c>
      <c r="J3" s="2" t="s">
        <v>58</v>
      </c>
      <c r="K3" t="s">
        <v>55</v>
      </c>
    </row>
    <row r="4" spans="1:11" x14ac:dyDescent="0.25">
      <c r="A4" s="2" t="s">
        <v>48</v>
      </c>
      <c r="B4" s="2" t="s">
        <v>59</v>
      </c>
      <c r="C4" s="2" t="s">
        <v>60</v>
      </c>
      <c r="E4" t="s">
        <v>61</v>
      </c>
      <c r="F4" t="s">
        <v>48</v>
      </c>
      <c r="G4" t="s">
        <v>62</v>
      </c>
      <c r="H4" t="s">
        <v>63</v>
      </c>
      <c r="I4" t="s">
        <v>64</v>
      </c>
      <c r="J4" s="2" t="s">
        <v>65</v>
      </c>
      <c r="K4" t="s">
        <v>66</v>
      </c>
    </row>
    <row r="5" spans="1:11" x14ac:dyDescent="0.25">
      <c r="A5" s="2" t="s">
        <v>49</v>
      </c>
      <c r="B5" s="2" t="s">
        <v>67</v>
      </c>
      <c r="C5" s="2" t="s">
        <v>68</v>
      </c>
      <c r="E5" t="s">
        <v>69</v>
      </c>
      <c r="F5" t="s">
        <v>49</v>
      </c>
      <c r="H5" t="s">
        <v>70</v>
      </c>
      <c r="I5" t="s">
        <v>71</v>
      </c>
      <c r="J5" s="2" t="s">
        <v>72</v>
      </c>
      <c r="K5" t="s">
        <v>73</v>
      </c>
    </row>
    <row r="6" spans="1:11" x14ac:dyDescent="0.25">
      <c r="C6" s="2" t="s">
        <v>74</v>
      </c>
      <c r="E6" t="s">
        <v>64</v>
      </c>
      <c r="H6" t="s">
        <v>75</v>
      </c>
      <c r="J6" s="2" t="s">
        <v>76</v>
      </c>
    </row>
    <row r="7" spans="1:11" x14ac:dyDescent="0.25">
      <c r="C7" s="2" t="s">
        <v>77</v>
      </c>
      <c r="E7" t="s">
        <v>78</v>
      </c>
      <c r="H7" t="s">
        <v>79</v>
      </c>
    </row>
    <row r="8" spans="1:11" x14ac:dyDescent="0.25">
      <c r="C8" s="2" t="s">
        <v>80</v>
      </c>
      <c r="H8" t="s">
        <v>81</v>
      </c>
    </row>
    <row r="9" spans="1:11" x14ac:dyDescent="0.25">
      <c r="C9" s="2" t="s">
        <v>82</v>
      </c>
      <c r="H9" t="s">
        <v>62</v>
      </c>
    </row>
    <row r="10" spans="1:11" x14ac:dyDescent="0.25">
      <c r="C10" s="2" t="s">
        <v>83</v>
      </c>
    </row>
    <row r="11" spans="1:11" x14ac:dyDescent="0.25">
      <c r="C11" s="2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25b5ae-0e5b-423a-bcbc-d8f31855df4f" xsi:nil="true"/>
    <lcf76f155ced4ddcb4097134ff3c332f xmlns="fd1cea59-ad1d-42b0-a63e-3e16e543f0e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666726ED18494C8DB0D68A33FF9A4E" ma:contentTypeVersion="18" ma:contentTypeDescription="Crear nuevo documento." ma:contentTypeScope="" ma:versionID="2413154f849da70cc02ee136003d833a">
  <xsd:schema xmlns:xsd="http://www.w3.org/2001/XMLSchema" xmlns:xs="http://www.w3.org/2001/XMLSchema" xmlns:p="http://schemas.microsoft.com/office/2006/metadata/properties" xmlns:ns2="9625b5ae-0e5b-423a-bcbc-d8f31855df4f" xmlns:ns3="fd1cea59-ad1d-42b0-a63e-3e16e543f0e8" targetNamespace="http://schemas.microsoft.com/office/2006/metadata/properties" ma:root="true" ma:fieldsID="5d70bf3b984130c467e7f0bd60b84233" ns2:_="" ns3:_="">
    <xsd:import namespace="9625b5ae-0e5b-423a-bcbc-d8f31855df4f"/>
    <xsd:import namespace="fd1cea59-ad1d-42b0-a63e-3e16e543f0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5b5ae-0e5b-423a-bcbc-d8f31855df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2d90914-3309-4211-ab0a-56046355403c}" ma:internalName="TaxCatchAll" ma:showField="CatchAllData" ma:web="9625b5ae-0e5b-423a-bcbc-d8f31855df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cea59-ad1d-42b0-a63e-3e16e543f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C17CEC-4771-486D-B1EC-BCFC4DD24B67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d1778a29-f69b-496b-9152-000cfcb6c173"/>
    <ds:schemaRef ds:uri="54a9599f-93a2-431e-b206-7bc3d3d6fff9"/>
    <ds:schemaRef ds:uri="http://purl.org/dc/terms/"/>
    <ds:schemaRef ds:uri="9625b5ae-0e5b-423a-bcbc-d8f31855df4f"/>
    <ds:schemaRef ds:uri="fd1cea59-ad1d-42b0-a63e-3e16e543f0e8"/>
  </ds:schemaRefs>
</ds:datastoreItem>
</file>

<file path=customXml/itemProps2.xml><?xml version="1.0" encoding="utf-8"?>
<ds:datastoreItem xmlns:ds="http://schemas.openxmlformats.org/officeDocument/2006/customXml" ds:itemID="{635A35C4-410A-46DE-81B7-59CC64C96F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CE1F31-82EF-46D9-AD5A-1D3509EF40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25b5ae-0e5b-423a-bcbc-d8f31855df4f"/>
    <ds:schemaRef ds:uri="fd1cea59-ad1d-42b0-a63e-3e16e543f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Antecedentes Asignatura</vt:lpstr>
      <vt:lpstr>Planificación por unidades 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MVASQUEZC</dc:creator>
  <cp:keywords/>
  <dc:description/>
  <cp:lastModifiedBy>Luis Tulio González Alcaino</cp:lastModifiedBy>
  <cp:revision/>
  <dcterms:created xsi:type="dcterms:W3CDTF">2022-12-16T18:42:17Z</dcterms:created>
  <dcterms:modified xsi:type="dcterms:W3CDTF">2026-04-17T06:03:15Z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0x01010080666726ED18494C8DB0D68A33FF9A4E</vt:lpwstr>
  </property>
  <property fmtid="{D5CDD505-2E9C-101B-9397-08002B2CF9AE}" pid="3" name="MediaServiceImageTags">
    <vt:lpwstr/>
  </property>
</Properties>
</file>