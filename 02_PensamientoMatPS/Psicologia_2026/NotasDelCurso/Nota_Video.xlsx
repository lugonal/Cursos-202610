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sicologia_2026\NotasDelCurso\"/>
    </mc:Choice>
  </mc:AlternateContent>
  <xr:revisionPtr revIDLastSave="0" documentId="13_ncr:1_{030006AA-0CF9-42A4-8FA4-EDC51A1BFCB9}" xr6:coauthVersionLast="47" xr6:coauthVersionMax="47" xr10:uidLastSave="{00000000-0000-0000-0000-000000000000}"/>
  <bookViews>
    <workbookView xWindow="-120" yWindow="-120" windowWidth="20730" windowHeight="11040" xr2:uid="{7E35A66B-CEA0-48D6-B3FE-F9A43B4C21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4" i="1"/>
  <c r="E3" i="1"/>
  <c r="E1" i="1"/>
  <c r="C4" i="1"/>
  <c r="C3" i="1"/>
  <c r="C2" i="1"/>
  <c r="C1" i="1"/>
  <c r="E5" i="1" l="1"/>
  <c r="C5" i="1"/>
  <c r="C6" i="1" s="1"/>
</calcChain>
</file>

<file path=xl/sharedStrings.xml><?xml version="1.0" encoding="utf-8"?>
<sst xmlns="http://schemas.openxmlformats.org/spreadsheetml/2006/main" count="6" uniqueCount="6">
  <si>
    <t>Item 1</t>
  </si>
  <si>
    <t>Item 2</t>
  </si>
  <si>
    <t>Item 3</t>
  </si>
  <si>
    <t>Item 4</t>
  </si>
  <si>
    <t>Nota =</t>
  </si>
  <si>
    <t>(1 + 6 × P₁/15) × 0,05 + (1 + 6 × P₂/9) × 0,05 + (1 + 6 × P₃/12) × 0,40 + (1 + 6 × P₄/12) × 0,50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</si>
</sst>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490A7AA-0E2C-494C-8E30-BBA0D338AB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B22A-2BC5-4DCF-AD06-F895DC6E4267}">
  <dimension ref="A1:E7"/>
  <sheetViews>
    <sheetView tabSelected="1" workbookViewId="0">
      <selection activeCell="B5" sqref="B5"/>
    </sheetView>
  </sheetViews>
  <sheetFormatPr baseColWidth="10" defaultRowHeight="15" x14ac:dyDescent="0.25"/>
  <cols>
    <col min="5" max="5" width="11.7109375" bestFit="1" customWidth="1"/>
  </cols>
  <sheetData>
    <row r="1" spans="1:5" x14ac:dyDescent="0.25">
      <c r="A1" t="s">
        <v>0</v>
      </c>
      <c r="B1" s="2">
        <v>13</v>
      </c>
      <c r="C1">
        <f>0.05*(B1/15)</f>
        <v>4.3333333333333335E-2</v>
      </c>
      <c r="E1">
        <f>(1+6*B1/15)*0.05</f>
        <v>0.31000000000000005</v>
      </c>
    </row>
    <row r="2" spans="1:5" x14ac:dyDescent="0.25">
      <c r="A2" t="s">
        <v>1</v>
      </c>
      <c r="B2" s="2">
        <v>6</v>
      </c>
      <c r="C2">
        <f>0.05*(B2/9)</f>
        <v>3.3333333333333333E-2</v>
      </c>
      <c r="E2">
        <f>(1+6*B2/9)*0.05</f>
        <v>0.25</v>
      </c>
    </row>
    <row r="3" spans="1:5" x14ac:dyDescent="0.25">
      <c r="A3" t="s">
        <v>2</v>
      </c>
      <c r="B3" s="2">
        <v>4</v>
      </c>
      <c r="C3">
        <f>0.4*(B3/12)</f>
        <v>0.13333333333333333</v>
      </c>
      <c r="E3">
        <f>(1+6*B3/12)*0.4</f>
        <v>1.2000000000000002</v>
      </c>
    </row>
    <row r="4" spans="1:5" x14ac:dyDescent="0.25">
      <c r="A4" t="s">
        <v>3</v>
      </c>
      <c r="B4" s="2">
        <v>5</v>
      </c>
      <c r="C4">
        <f>0.5*(B4/12)</f>
        <v>0.20833333333333334</v>
      </c>
      <c r="E4">
        <f>(1+6*B4/12)*0.5</f>
        <v>1.75</v>
      </c>
    </row>
    <row r="5" spans="1:5" x14ac:dyDescent="0.25">
      <c r="B5" s="2"/>
      <c r="C5">
        <f>SUM(C1:C4)</f>
        <v>0.41833333333333333</v>
      </c>
      <c r="E5" s="1">
        <f>ROUND(SUM(E1:E4),1)</f>
        <v>3.5</v>
      </c>
    </row>
    <row r="6" spans="1:5" x14ac:dyDescent="0.25">
      <c r="A6" t="s">
        <v>4</v>
      </c>
      <c r="C6" s="1">
        <f>IF(C5&lt;0.5,1+5.8*C5,1+6*C5)</f>
        <v>3.4263333333333335</v>
      </c>
    </row>
    <row r="7" spans="1:5" x14ac:dyDescent="0.25">
      <c r="E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Tulio González Alcaino</dc:creator>
  <cp:lastModifiedBy>Luis Tulio González Alcaino</cp:lastModifiedBy>
  <dcterms:created xsi:type="dcterms:W3CDTF">2026-04-18T22:53:32Z</dcterms:created>
  <dcterms:modified xsi:type="dcterms:W3CDTF">2026-04-29T21:04:35Z</dcterms:modified>
</cp:coreProperties>
</file>